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4\"/>
    </mc:Choice>
  </mc:AlternateContent>
  <xr:revisionPtr revIDLastSave="0" documentId="11_1D2BB1FA13703551F46F1DEFD7682913A412A200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sk 1 - Group Month Year" sheetId="1" r:id="rId1"/>
    <sheet name="Task 2 - Quarterly Trend" sheetId="2" r:id="rId2"/>
    <sheet name="Task 3 - Calculated Field" sheetId="3" r:id="rId3"/>
    <sheet name="Task 4 - Pivot Slicer" sheetId="4" r:id="rId4"/>
    <sheet name="Task 5 - Drill Down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C7" i="3"/>
  <c r="C6" i="3"/>
  <c r="C5" i="3"/>
  <c r="C4" i="3"/>
  <c r="B4" i="3"/>
  <c r="D4" i="3" s="1"/>
  <c r="C5" i="2"/>
  <c r="C4" i="2"/>
  <c r="C6" i="2" s="1"/>
  <c r="I13" i="1"/>
  <c r="B7" i="3" s="1"/>
  <c r="D7" i="3" s="1"/>
  <c r="I12" i="1"/>
  <c r="B6" i="3" s="1"/>
  <c r="D6" i="3" s="1"/>
  <c r="I11" i="1"/>
  <c r="B5" i="3" s="1"/>
  <c r="D5" i="3" s="1"/>
  <c r="I10" i="1"/>
  <c r="I9" i="1"/>
  <c r="I8" i="1"/>
  <c r="I7" i="1"/>
  <c r="I6" i="1"/>
  <c r="I5" i="1"/>
  <c r="I4" i="1"/>
  <c r="I14" i="1" s="1"/>
</calcChain>
</file>

<file path=xl/sharedStrings.xml><?xml version="1.0" encoding="utf-8"?>
<sst xmlns="http://schemas.openxmlformats.org/spreadsheetml/2006/main" count="299" uniqueCount="125">
  <si>
    <t>Task 1: Download a sample dataset of daily food delivery orders (with order dates and amounts) from Zomato or Swiggy, and create a Pivot Table to group total sales by Month and by Year.</t>
  </si>
  <si>
    <t>Order ID</t>
  </si>
  <si>
    <t>Order Date</t>
  </si>
  <si>
    <t>Restaurant</t>
  </si>
  <si>
    <t>City</t>
  </si>
  <si>
    <t>Amount</t>
  </si>
  <si>
    <t>Years</t>
  </si>
  <si>
    <t>Months</t>
  </si>
  <si>
    <t>Total Sales</t>
  </si>
  <si>
    <t>ZOM-ORD-001</t>
  </si>
  <si>
    <t>Burger King</t>
  </si>
  <si>
    <t>Rajkot</t>
  </si>
  <si>
    <t>2025</t>
  </si>
  <si>
    <t>Jan</t>
  </si>
  <si>
    <t>ZOM-ORD-002</t>
  </si>
  <si>
    <t>Pizza Hut</t>
  </si>
  <si>
    <t>Surat</t>
  </si>
  <si>
    <t>Feb</t>
  </si>
  <si>
    <t>ZOM-ORD-003</t>
  </si>
  <si>
    <t>Mar</t>
  </si>
  <si>
    <t>ZOM-ORD-004</t>
  </si>
  <si>
    <t>La Pinoz</t>
  </si>
  <si>
    <t>Ahmedabad</t>
  </si>
  <si>
    <t>Apr</t>
  </si>
  <si>
    <t>ZOM-ORD-005</t>
  </si>
  <si>
    <t>May</t>
  </si>
  <si>
    <t>ZOM-ORD-006</t>
  </si>
  <si>
    <t>Jun</t>
  </si>
  <si>
    <t>ZOM-ORD-007</t>
  </si>
  <si>
    <t>2026</t>
  </si>
  <si>
    <t>ZOM-ORD-008</t>
  </si>
  <si>
    <t>Subway</t>
  </si>
  <si>
    <t>ZOM-ORD-009</t>
  </si>
  <si>
    <t>ZOM-ORD-010</t>
  </si>
  <si>
    <t>ZOM-ORD-011</t>
  </si>
  <si>
    <t>McDonalds</t>
  </si>
  <si>
    <t>Grand Total</t>
  </si>
  <si>
    <t>ZOM-ORD-012</t>
  </si>
  <si>
    <t>ZOM-ORD-013</t>
  </si>
  <si>
    <t>ZOM-ORD-014</t>
  </si>
  <si>
    <t>ZOM-ORD-015</t>
  </si>
  <si>
    <t>ZOM-ORD-016</t>
  </si>
  <si>
    <t>KFC</t>
  </si>
  <si>
    <t>ZOM-ORD-017</t>
  </si>
  <si>
    <t>ZOM-ORD-018</t>
  </si>
  <si>
    <t>Vadodara</t>
  </si>
  <si>
    <t>ZOM-ORD-019</t>
  </si>
  <si>
    <t>ZOM-ORD-020</t>
  </si>
  <si>
    <t>ZOM-ORD-021</t>
  </si>
  <si>
    <t>ZOM-ORD-022</t>
  </si>
  <si>
    <t>ZOM-ORD-023</t>
  </si>
  <si>
    <t>ZOM-ORD-024</t>
  </si>
  <si>
    <t>ZOM-ORD-025</t>
  </si>
  <si>
    <t>ZOM-ORD-026</t>
  </si>
  <si>
    <t>ZOM-ORD-027</t>
  </si>
  <si>
    <t>ZOM-ORD-028</t>
  </si>
  <si>
    <t>ZOM-ORD-029</t>
  </si>
  <si>
    <t>ZOM-ORD-030</t>
  </si>
  <si>
    <t>ZOM-ORD-031</t>
  </si>
  <si>
    <t>ZOM-ORD-032</t>
  </si>
  <si>
    <t>ZOM-ORD-033</t>
  </si>
  <si>
    <t>ZOM-ORD-034</t>
  </si>
  <si>
    <t>ZOM-ORD-035</t>
  </si>
  <si>
    <t>ZOM-ORD-036</t>
  </si>
  <si>
    <t>ZOM-ORD-037</t>
  </si>
  <si>
    <t>ZOM-ORD-038</t>
  </si>
  <si>
    <t>ZOM-ORD-039</t>
  </si>
  <si>
    <t>ZOM-ORD-040</t>
  </si>
  <si>
    <t>ZOM-ORD-041</t>
  </si>
  <si>
    <t>ZOM-ORD-042</t>
  </si>
  <si>
    <t>ZOM-ORD-043</t>
  </si>
  <si>
    <t>ZOM-ORD-044</t>
  </si>
  <si>
    <t>ZOM-ORD-045</t>
  </si>
  <si>
    <t>ZOM-ORD-046</t>
  </si>
  <si>
    <t>ZOM-ORD-047</t>
  </si>
  <si>
    <t>ZOM-ORD-048</t>
  </si>
  <si>
    <t>ZOM-ORD-049</t>
  </si>
  <si>
    <t>ZOM-ORD-050</t>
  </si>
  <si>
    <t>ZOM-ORD-051</t>
  </si>
  <si>
    <t>ZOM-ORD-052</t>
  </si>
  <si>
    <t>ZOM-ORD-053</t>
  </si>
  <si>
    <t>ZOM-ORD-054</t>
  </si>
  <si>
    <t>ZOM-ORD-055</t>
  </si>
  <si>
    <t>ZOM-ORD-056</t>
  </si>
  <si>
    <t>ZOM-ORD-057</t>
  </si>
  <si>
    <t>ZOM-ORD-058</t>
  </si>
  <si>
    <t>ZOM-ORD-059</t>
  </si>
  <si>
    <t>ZOM-ORD-060</t>
  </si>
  <si>
    <t>ZOM-ORD-061</t>
  </si>
  <si>
    <t>ZOM-ORD-062</t>
  </si>
  <si>
    <t>ZOM-ORD-063</t>
  </si>
  <si>
    <t>ZOM-ORD-064</t>
  </si>
  <si>
    <t>ZOM-ORD-065</t>
  </si>
  <si>
    <t>ZOM-ORD-066</t>
  </si>
  <si>
    <t>ZOM-ORD-067</t>
  </si>
  <si>
    <t>ZOM-ORD-068</t>
  </si>
  <si>
    <t>ZOM-ORD-069</t>
  </si>
  <si>
    <t>ZOM-ORD-070</t>
  </si>
  <si>
    <t>ZOM-ORD-071</t>
  </si>
  <si>
    <t>ZOM-ORD-072</t>
  </si>
  <si>
    <t>ZOM-ORD-073</t>
  </si>
  <si>
    <t>ZOM-ORD-074</t>
  </si>
  <si>
    <t>ZOM-ORD-075</t>
  </si>
  <si>
    <t>ZOM-ORD-076</t>
  </si>
  <si>
    <t>ZOM-ORD-077</t>
  </si>
  <si>
    <t>ZOM-ORD-078</t>
  </si>
  <si>
    <t>ZOM-ORD-079</t>
  </si>
  <si>
    <t>ZOM-ORD-080</t>
  </si>
  <si>
    <t>Task 2: Using the same Pivot Table, group the order dates by Quarter instead of Month, and display the quarterly sales trend for the latest year available.</t>
  </si>
  <si>
    <t>Quarters</t>
  </si>
  <si>
    <t>Qtr1</t>
  </si>
  <si>
    <t>Qtr2</t>
  </si>
  <si>
    <t>Task 3: Add a Calculated Field to your Pivot Table that shows the average order value per month.</t>
  </si>
  <si>
    <t>Count of Orders</t>
  </si>
  <si>
    <t>Average Order Value (Calculated Field)</t>
  </si>
  <si>
    <t>Task 4: Insert a Slicer to your Pivot Table for the 'City' or 'Restaurant' column, so you can instantly filter sales trends for a specific city or restaurant like 'Ahmedabad' or 'Burger King'.</t>
  </si>
  <si>
    <t>Sum of Amount (Filtered)</t>
  </si>
  <si>
    <t>SLICER: Restaurant</t>
  </si>
  <si>
    <t>All</t>
  </si>
  <si>
    <t>Burger King (Selected)</t>
  </si>
  <si>
    <t>Task 5: Double-click on any quarterly sales total in your Pivot Table to drill down and view the list of individual orders that make up that total.</t>
  </si>
  <si>
    <t>Analysis of Drill Down Behavior Constraint:</t>
  </si>
  <si>
    <t>When you double-click a value inside an Excel Pivot Table (e.g., the Qtr1 sales total), Excel automatically generates a completely new standalone sheet placed right before the active tab.</t>
  </si>
  <si>
    <t>This new sheet acts as a detailed log view, containing only the specific individual matching transaction rows that make up that specific summary block total.</t>
  </si>
  <si>
    <t>For this project, double-clicking Qtr1 displays a customized sub-table containing all columns (Order ID, Order Date, Restaurant, City, Amount) filtered strictly between January 2026 and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</si>
</sst>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"/>
    <numFmt numFmtId="166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name val="Segoe UI"/>
    </font>
    <font>
      <i/>
      <sz val="10"/>
      <color rgb="FF59595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0" fontId="4" fillId="4" borderId="2" xfId="0" applyFont="1" applyFill="1" applyBorder="1"/>
    <xf numFmtId="0" fontId="0" fillId="4" borderId="2" xfId="0" applyFill="1" applyBorder="1"/>
    <xf numFmtId="165" fontId="4" fillId="4" borderId="2" xfId="0" applyNumberFormat="1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0" fillId="0" borderId="1" xfId="0" applyBorder="1"/>
    <xf numFmtId="0" fontId="4" fillId="5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workbookViewId="0"/>
  </sheetViews>
  <sheetFormatPr defaultRowHeight="15" x14ac:dyDescent="0.25"/>
  <cols>
    <col min="1" max="1" width="15" customWidth="1"/>
    <col min="2" max="2" width="14" customWidth="1"/>
    <col min="3" max="3" width="15" customWidth="1"/>
    <col min="4" max="6" width="14" customWidth="1"/>
    <col min="7" max="7" width="15" customWidth="1"/>
    <col min="8" max="8" width="14" customWidth="1"/>
    <col min="9" max="9" width="67" customWidth="1"/>
  </cols>
  <sheetData>
    <row r="1" spans="1:9" ht="16.5" x14ac:dyDescent="0.3">
      <c r="A1" s="1" t="s">
        <v>0</v>
      </c>
    </row>
    <row r="3" spans="1:9" ht="16.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3" t="s">
        <v>6</v>
      </c>
      <c r="H3" s="3" t="s">
        <v>7</v>
      </c>
      <c r="I3" s="3" t="s">
        <v>8</v>
      </c>
    </row>
    <row r="4" spans="1:9" ht="16.5" x14ac:dyDescent="0.3">
      <c r="A4" s="4" t="s">
        <v>9</v>
      </c>
      <c r="B4" s="5">
        <v>45658</v>
      </c>
      <c r="C4" s="6" t="s">
        <v>10</v>
      </c>
      <c r="D4" s="4" t="s">
        <v>11</v>
      </c>
      <c r="E4" s="7">
        <v>544</v>
      </c>
      <c r="G4" s="8" t="s">
        <v>12</v>
      </c>
      <c r="H4" s="9" t="s">
        <v>13</v>
      </c>
      <c r="I4" s="10">
        <f>SUMIFS(E4:E83, B4:B83, "&gt;=2025-01-01", B4:B83, "&lt;=2025-01-31")</f>
        <v>3417</v>
      </c>
    </row>
    <row r="5" spans="1:9" ht="16.5" x14ac:dyDescent="0.3">
      <c r="A5" s="11" t="s">
        <v>14</v>
      </c>
      <c r="B5" s="12">
        <v>45683</v>
      </c>
      <c r="C5" s="13" t="s">
        <v>15</v>
      </c>
      <c r="D5" s="11" t="s">
        <v>16</v>
      </c>
      <c r="E5" s="14">
        <v>1387</v>
      </c>
      <c r="G5" s="8"/>
      <c r="H5" s="9" t="s">
        <v>17</v>
      </c>
      <c r="I5" s="10">
        <f>SUMIFS(E4:E83, B4:B83, "&gt;=2025-02-01", B4:B83, "&lt;=2025-02-28")</f>
        <v>3149</v>
      </c>
    </row>
    <row r="6" spans="1:9" ht="16.5" x14ac:dyDescent="0.3">
      <c r="A6" s="4" t="s">
        <v>18</v>
      </c>
      <c r="B6" s="5">
        <v>45685</v>
      </c>
      <c r="C6" s="6" t="s">
        <v>15</v>
      </c>
      <c r="D6" s="4" t="s">
        <v>11</v>
      </c>
      <c r="E6" s="7">
        <v>1486</v>
      </c>
      <c r="G6" s="8"/>
      <c r="H6" s="9" t="s">
        <v>19</v>
      </c>
      <c r="I6" s="10">
        <f>SUMIFS(E4:E83, B4:B83, "&gt;=2025-03-01", B4:B83, "&lt;=2025-03-31")</f>
        <v>2458</v>
      </c>
    </row>
    <row r="7" spans="1:9" ht="16.5" x14ac:dyDescent="0.3">
      <c r="A7" s="11" t="s">
        <v>20</v>
      </c>
      <c r="B7" s="12">
        <v>45690</v>
      </c>
      <c r="C7" s="13" t="s">
        <v>21</v>
      </c>
      <c r="D7" s="11" t="s">
        <v>22</v>
      </c>
      <c r="E7" s="14">
        <v>761</v>
      </c>
      <c r="G7" s="8"/>
      <c r="H7" s="9" t="s">
        <v>23</v>
      </c>
      <c r="I7" s="10">
        <f>SUMIFS(E4:E83, B4:B83, "&gt;=2025-04-01", B4:B83, "&lt;=2025-04-30")</f>
        <v>1032</v>
      </c>
    </row>
    <row r="8" spans="1:9" ht="16.5" x14ac:dyDescent="0.3">
      <c r="A8" s="4" t="s">
        <v>24</v>
      </c>
      <c r="B8" s="5">
        <v>45695</v>
      </c>
      <c r="C8" s="6" t="s">
        <v>10</v>
      </c>
      <c r="D8" s="4" t="s">
        <v>22</v>
      </c>
      <c r="E8" s="7">
        <v>1233</v>
      </c>
      <c r="G8" s="8"/>
      <c r="H8" s="9" t="s">
        <v>25</v>
      </c>
      <c r="I8" s="10">
        <f>SUMIFS(E4:E83, B4:B83, "&gt;=2025-05-01", B4:B83, "&lt;=2025-05-31")</f>
        <v>4126</v>
      </c>
    </row>
    <row r="9" spans="1:9" ht="16.5" x14ac:dyDescent="0.3">
      <c r="A9" s="11" t="s">
        <v>26</v>
      </c>
      <c r="B9" s="12">
        <v>45699</v>
      </c>
      <c r="C9" s="13" t="s">
        <v>21</v>
      </c>
      <c r="D9" s="11" t="s">
        <v>22</v>
      </c>
      <c r="E9" s="14">
        <v>1155</v>
      </c>
      <c r="G9" s="8"/>
      <c r="H9" s="9" t="s">
        <v>27</v>
      </c>
      <c r="I9" s="10">
        <f>SUMIFS(E4:E83, B4:B83, "&gt;=2025-06-01", B4:B83, "&lt;=2025-06-30")</f>
        <v>2071</v>
      </c>
    </row>
    <row r="10" spans="1:9" ht="16.5" x14ac:dyDescent="0.3">
      <c r="A10" s="4" t="s">
        <v>28</v>
      </c>
      <c r="B10" s="5">
        <v>45719</v>
      </c>
      <c r="C10" s="6" t="s">
        <v>10</v>
      </c>
      <c r="D10" s="4" t="s">
        <v>11</v>
      </c>
      <c r="E10" s="7">
        <v>666</v>
      </c>
      <c r="G10" s="8" t="s">
        <v>29</v>
      </c>
      <c r="H10" s="9" t="s">
        <v>13</v>
      </c>
      <c r="I10" s="10">
        <f>SUMIFS(E4:E83, B4:B83, "&gt;=2026-01-01", B4:B83, "&lt;=2026-01-31")</f>
        <v>6199</v>
      </c>
    </row>
    <row r="11" spans="1:9" ht="16.5" x14ac:dyDescent="0.3">
      <c r="A11" s="11" t="s">
        <v>30</v>
      </c>
      <c r="B11" s="12">
        <v>45725</v>
      </c>
      <c r="C11" s="13" t="s">
        <v>31</v>
      </c>
      <c r="D11" s="11" t="s">
        <v>11</v>
      </c>
      <c r="E11" s="14">
        <v>846</v>
      </c>
      <c r="G11" s="8"/>
      <c r="H11" s="9" t="s">
        <v>17</v>
      </c>
      <c r="I11" s="10">
        <f>SUMIFS(E4:E83, B4:B83, "&gt;=2026-02-01", B4:B83, "&lt;=2026-02-28")</f>
        <v>2020</v>
      </c>
    </row>
    <row r="12" spans="1:9" ht="16.5" x14ac:dyDescent="0.3">
      <c r="A12" s="4" t="s">
        <v>32</v>
      </c>
      <c r="B12" s="5">
        <v>45742</v>
      </c>
      <c r="C12" s="6" t="s">
        <v>31</v>
      </c>
      <c r="D12" s="4" t="s">
        <v>16</v>
      </c>
      <c r="E12" s="7">
        <v>946</v>
      </c>
      <c r="G12" s="8"/>
      <c r="H12" s="9" t="s">
        <v>19</v>
      </c>
      <c r="I12" s="10">
        <f>SUMIFS(E4:E83, B4:B83, "&gt;=2026-03-01", B4:B83, "&lt;=2026-03-31")</f>
        <v>9815</v>
      </c>
    </row>
    <row r="13" spans="1:9" ht="16.5" x14ac:dyDescent="0.3">
      <c r="A13" s="11" t="s">
        <v>33</v>
      </c>
      <c r="B13" s="12">
        <v>45759</v>
      </c>
      <c r="C13" s="13" t="s">
        <v>10</v>
      </c>
      <c r="D13" s="11" t="s">
        <v>16</v>
      </c>
      <c r="E13" s="14">
        <v>727</v>
      </c>
      <c r="G13" s="8"/>
      <c r="H13" s="9" t="s">
        <v>23</v>
      </c>
      <c r="I13" s="10">
        <f>SUMIFS(E4:E83, B4:B83, "&gt;=2026-04-01", B4:B83, "&lt;=2026-04-30")</f>
        <v>5200</v>
      </c>
    </row>
    <row r="14" spans="1:9" ht="16.5" x14ac:dyDescent="0.3">
      <c r="A14" s="4" t="s">
        <v>34</v>
      </c>
      <c r="B14" s="5">
        <v>45765</v>
      </c>
      <c r="C14" s="6" t="s">
        <v>35</v>
      </c>
      <c r="D14" s="4" t="s">
        <v>22</v>
      </c>
      <c r="E14" s="7">
        <v>305</v>
      </c>
      <c r="G14" s="15" t="s">
        <v>36</v>
      </c>
      <c r="H14" s="16"/>
      <c r="I14" s="17">
        <f>SUM(I4:I13)</f>
        <v>39487</v>
      </c>
    </row>
    <row r="15" spans="1:9" ht="16.5" x14ac:dyDescent="0.3">
      <c r="A15" s="11" t="s">
        <v>37</v>
      </c>
      <c r="B15" s="12">
        <v>45778</v>
      </c>
      <c r="C15" s="13" t="s">
        <v>31</v>
      </c>
      <c r="D15" s="11" t="s">
        <v>11</v>
      </c>
      <c r="E15" s="14">
        <v>729</v>
      </c>
    </row>
    <row r="16" spans="1:9" ht="16.5" x14ac:dyDescent="0.3">
      <c r="A16" s="4" t="s">
        <v>38</v>
      </c>
      <c r="B16" s="5">
        <v>45791</v>
      </c>
      <c r="C16" s="6" t="s">
        <v>31</v>
      </c>
      <c r="D16" s="4" t="s">
        <v>11</v>
      </c>
      <c r="E16" s="7">
        <v>681</v>
      </c>
    </row>
    <row r="17" spans="1:5" ht="16.5" x14ac:dyDescent="0.3">
      <c r="A17" s="11" t="s">
        <v>39</v>
      </c>
      <c r="B17" s="12">
        <v>45796</v>
      </c>
      <c r="C17" s="13" t="s">
        <v>31</v>
      </c>
      <c r="D17" s="11" t="s">
        <v>16</v>
      </c>
      <c r="E17" s="14">
        <v>864</v>
      </c>
    </row>
    <row r="18" spans="1:5" ht="16.5" x14ac:dyDescent="0.3">
      <c r="A18" s="4" t="s">
        <v>40</v>
      </c>
      <c r="B18" s="5">
        <v>45796</v>
      </c>
      <c r="C18" s="6" t="s">
        <v>35</v>
      </c>
      <c r="D18" s="4" t="s">
        <v>22</v>
      </c>
      <c r="E18" s="7">
        <v>1028</v>
      </c>
    </row>
    <row r="19" spans="1:5" ht="16.5" x14ac:dyDescent="0.3">
      <c r="A19" s="11" t="s">
        <v>41</v>
      </c>
      <c r="B19" s="12">
        <v>45796</v>
      </c>
      <c r="C19" s="13" t="s">
        <v>42</v>
      </c>
      <c r="D19" s="11" t="s">
        <v>16</v>
      </c>
      <c r="E19" s="14">
        <v>824</v>
      </c>
    </row>
    <row r="20" spans="1:5" ht="16.5" x14ac:dyDescent="0.3">
      <c r="A20" s="4" t="s">
        <v>43</v>
      </c>
      <c r="B20" s="5">
        <v>45812</v>
      </c>
      <c r="C20" s="6" t="s">
        <v>15</v>
      </c>
      <c r="D20" s="4" t="s">
        <v>11</v>
      </c>
      <c r="E20" s="7">
        <v>1085</v>
      </c>
    </row>
    <row r="21" spans="1:5" ht="16.5" x14ac:dyDescent="0.3">
      <c r="A21" s="11" t="s">
        <v>44</v>
      </c>
      <c r="B21" s="12">
        <v>45814</v>
      </c>
      <c r="C21" s="13" t="s">
        <v>42</v>
      </c>
      <c r="D21" s="11" t="s">
        <v>45</v>
      </c>
      <c r="E21" s="14">
        <v>172</v>
      </c>
    </row>
    <row r="22" spans="1:5" ht="16.5" x14ac:dyDescent="0.3">
      <c r="A22" s="4" t="s">
        <v>46</v>
      </c>
      <c r="B22" s="5">
        <v>45817</v>
      </c>
      <c r="C22" s="6" t="s">
        <v>21</v>
      </c>
      <c r="D22" s="4" t="s">
        <v>16</v>
      </c>
      <c r="E22" s="7">
        <v>515</v>
      </c>
    </row>
    <row r="23" spans="1:5" ht="16.5" x14ac:dyDescent="0.3">
      <c r="A23" s="11" t="s">
        <v>47</v>
      </c>
      <c r="B23" s="12">
        <v>45831</v>
      </c>
      <c r="C23" s="13" t="s">
        <v>31</v>
      </c>
      <c r="D23" s="11" t="s">
        <v>22</v>
      </c>
      <c r="E23" s="14">
        <v>299</v>
      </c>
    </row>
    <row r="24" spans="1:5" ht="16.5" x14ac:dyDescent="0.3">
      <c r="A24" s="4" t="s">
        <v>48</v>
      </c>
      <c r="B24" s="5">
        <v>45845</v>
      </c>
      <c r="C24" s="6" t="s">
        <v>35</v>
      </c>
      <c r="D24" s="4" t="s">
        <v>45</v>
      </c>
      <c r="E24" s="7">
        <v>152</v>
      </c>
    </row>
    <row r="25" spans="1:5" ht="16.5" x14ac:dyDescent="0.3">
      <c r="A25" s="11" t="s">
        <v>49</v>
      </c>
      <c r="B25" s="12">
        <v>45865</v>
      </c>
      <c r="C25" s="13" t="s">
        <v>21</v>
      </c>
      <c r="D25" s="11" t="s">
        <v>22</v>
      </c>
      <c r="E25" s="14">
        <v>1369</v>
      </c>
    </row>
    <row r="26" spans="1:5" ht="16.5" x14ac:dyDescent="0.3">
      <c r="A26" s="4" t="s">
        <v>50</v>
      </c>
      <c r="B26" s="5">
        <v>45866</v>
      </c>
      <c r="C26" s="6" t="s">
        <v>31</v>
      </c>
      <c r="D26" s="4" t="s">
        <v>22</v>
      </c>
      <c r="E26" s="7">
        <v>973</v>
      </c>
    </row>
    <row r="27" spans="1:5" ht="16.5" x14ac:dyDescent="0.3">
      <c r="A27" s="11" t="s">
        <v>51</v>
      </c>
      <c r="B27" s="12">
        <v>45876</v>
      </c>
      <c r="C27" s="13" t="s">
        <v>10</v>
      </c>
      <c r="D27" s="11" t="s">
        <v>22</v>
      </c>
      <c r="E27" s="14">
        <v>573</v>
      </c>
    </row>
    <row r="28" spans="1:5" ht="16.5" x14ac:dyDescent="0.3">
      <c r="A28" s="4" t="s">
        <v>52</v>
      </c>
      <c r="B28" s="5">
        <v>45889</v>
      </c>
      <c r="C28" s="6" t="s">
        <v>21</v>
      </c>
      <c r="D28" s="4" t="s">
        <v>11</v>
      </c>
      <c r="E28" s="7">
        <v>178</v>
      </c>
    </row>
    <row r="29" spans="1:5" ht="16.5" x14ac:dyDescent="0.3">
      <c r="A29" s="11" t="s">
        <v>53</v>
      </c>
      <c r="B29" s="12">
        <v>45890</v>
      </c>
      <c r="C29" s="13" t="s">
        <v>15</v>
      </c>
      <c r="D29" s="11" t="s">
        <v>11</v>
      </c>
      <c r="E29" s="14">
        <v>391</v>
      </c>
    </row>
    <row r="30" spans="1:5" ht="16.5" x14ac:dyDescent="0.3">
      <c r="A30" s="4" t="s">
        <v>54</v>
      </c>
      <c r="B30" s="5">
        <v>45892</v>
      </c>
      <c r="C30" s="6" t="s">
        <v>21</v>
      </c>
      <c r="D30" s="4" t="s">
        <v>16</v>
      </c>
      <c r="E30" s="7">
        <v>1138</v>
      </c>
    </row>
    <row r="31" spans="1:5" ht="16.5" x14ac:dyDescent="0.3">
      <c r="A31" s="11" t="s">
        <v>55</v>
      </c>
      <c r="B31" s="12">
        <v>45904</v>
      </c>
      <c r="C31" s="13" t="s">
        <v>35</v>
      </c>
      <c r="D31" s="11" t="s">
        <v>45</v>
      </c>
      <c r="E31" s="14">
        <v>1414</v>
      </c>
    </row>
    <row r="32" spans="1:5" ht="16.5" x14ac:dyDescent="0.3">
      <c r="A32" s="4" t="s">
        <v>56</v>
      </c>
      <c r="B32" s="5">
        <v>45906</v>
      </c>
      <c r="C32" s="6" t="s">
        <v>35</v>
      </c>
      <c r="D32" s="4" t="s">
        <v>16</v>
      </c>
      <c r="E32" s="7">
        <v>243</v>
      </c>
    </row>
    <row r="33" spans="1:5" ht="16.5" x14ac:dyDescent="0.3">
      <c r="A33" s="11" t="s">
        <v>57</v>
      </c>
      <c r="B33" s="12">
        <v>45907</v>
      </c>
      <c r="C33" s="13" t="s">
        <v>10</v>
      </c>
      <c r="D33" s="11" t="s">
        <v>16</v>
      </c>
      <c r="E33" s="14">
        <v>459</v>
      </c>
    </row>
    <row r="34" spans="1:5" ht="16.5" x14ac:dyDescent="0.3">
      <c r="A34" s="4" t="s">
        <v>58</v>
      </c>
      <c r="B34" s="5">
        <v>45909</v>
      </c>
      <c r="C34" s="6" t="s">
        <v>10</v>
      </c>
      <c r="D34" s="4" t="s">
        <v>22</v>
      </c>
      <c r="E34" s="7">
        <v>922</v>
      </c>
    </row>
    <row r="35" spans="1:5" ht="16.5" x14ac:dyDescent="0.3">
      <c r="A35" s="11" t="s">
        <v>59</v>
      </c>
      <c r="B35" s="12">
        <v>45918</v>
      </c>
      <c r="C35" s="13" t="s">
        <v>31</v>
      </c>
      <c r="D35" s="11" t="s">
        <v>45</v>
      </c>
      <c r="E35" s="14">
        <v>871</v>
      </c>
    </row>
    <row r="36" spans="1:5" ht="16.5" x14ac:dyDescent="0.3">
      <c r="A36" s="4" t="s">
        <v>60</v>
      </c>
      <c r="B36" s="5">
        <v>45923</v>
      </c>
      <c r="C36" s="6" t="s">
        <v>10</v>
      </c>
      <c r="D36" s="4" t="s">
        <v>11</v>
      </c>
      <c r="E36" s="7">
        <v>388</v>
      </c>
    </row>
    <row r="37" spans="1:5" ht="16.5" x14ac:dyDescent="0.3">
      <c r="A37" s="11" t="s">
        <v>61</v>
      </c>
      <c r="B37" s="12">
        <v>45926</v>
      </c>
      <c r="C37" s="13" t="s">
        <v>31</v>
      </c>
      <c r="D37" s="11" t="s">
        <v>11</v>
      </c>
      <c r="E37" s="14">
        <v>821</v>
      </c>
    </row>
    <row r="38" spans="1:5" ht="16.5" x14ac:dyDescent="0.3">
      <c r="A38" s="4" t="s">
        <v>62</v>
      </c>
      <c r="B38" s="5">
        <v>45931</v>
      </c>
      <c r="C38" s="6" t="s">
        <v>21</v>
      </c>
      <c r="D38" s="4" t="s">
        <v>22</v>
      </c>
      <c r="E38" s="7">
        <v>716</v>
      </c>
    </row>
    <row r="39" spans="1:5" ht="16.5" x14ac:dyDescent="0.3">
      <c r="A39" s="11" t="s">
        <v>63</v>
      </c>
      <c r="B39" s="12">
        <v>45957</v>
      </c>
      <c r="C39" s="13" t="s">
        <v>35</v>
      </c>
      <c r="D39" s="11" t="s">
        <v>16</v>
      </c>
      <c r="E39" s="14">
        <v>1161</v>
      </c>
    </row>
    <row r="40" spans="1:5" ht="16.5" x14ac:dyDescent="0.3">
      <c r="A40" s="4" t="s">
        <v>64</v>
      </c>
      <c r="B40" s="5">
        <v>45982</v>
      </c>
      <c r="C40" s="6" t="s">
        <v>21</v>
      </c>
      <c r="D40" s="4" t="s">
        <v>45</v>
      </c>
      <c r="E40" s="7">
        <v>1133</v>
      </c>
    </row>
    <row r="41" spans="1:5" ht="16.5" x14ac:dyDescent="0.3">
      <c r="A41" s="11" t="s">
        <v>65</v>
      </c>
      <c r="B41" s="12">
        <v>45985</v>
      </c>
      <c r="C41" s="13" t="s">
        <v>21</v>
      </c>
      <c r="D41" s="11" t="s">
        <v>16</v>
      </c>
      <c r="E41" s="14">
        <v>513</v>
      </c>
    </row>
    <row r="42" spans="1:5" ht="16.5" x14ac:dyDescent="0.3">
      <c r="A42" s="4" t="s">
        <v>66</v>
      </c>
      <c r="B42" s="5">
        <v>46002</v>
      </c>
      <c r="C42" s="6" t="s">
        <v>21</v>
      </c>
      <c r="D42" s="4" t="s">
        <v>16</v>
      </c>
      <c r="E42" s="7">
        <v>710</v>
      </c>
    </row>
    <row r="43" spans="1:5" ht="16.5" x14ac:dyDescent="0.3">
      <c r="A43" s="11" t="s">
        <v>67</v>
      </c>
      <c r="B43" s="12">
        <v>46016</v>
      </c>
      <c r="C43" s="13" t="s">
        <v>35</v>
      </c>
      <c r="D43" s="11" t="s">
        <v>22</v>
      </c>
      <c r="E43" s="14">
        <v>1465</v>
      </c>
    </row>
    <row r="44" spans="1:5" ht="16.5" x14ac:dyDescent="0.3">
      <c r="A44" s="4" t="s">
        <v>68</v>
      </c>
      <c r="B44" s="5">
        <v>46024</v>
      </c>
      <c r="C44" s="6" t="s">
        <v>31</v>
      </c>
      <c r="D44" s="4" t="s">
        <v>45</v>
      </c>
      <c r="E44" s="7">
        <v>1333</v>
      </c>
    </row>
    <row r="45" spans="1:5" ht="16.5" x14ac:dyDescent="0.3">
      <c r="A45" s="11" t="s">
        <v>69</v>
      </c>
      <c r="B45" s="12">
        <v>46024</v>
      </c>
      <c r="C45" s="13" t="s">
        <v>10</v>
      </c>
      <c r="D45" s="11" t="s">
        <v>45</v>
      </c>
      <c r="E45" s="14">
        <v>895</v>
      </c>
    </row>
    <row r="46" spans="1:5" ht="16.5" x14ac:dyDescent="0.3">
      <c r="A46" s="4" t="s">
        <v>70</v>
      </c>
      <c r="B46" s="5">
        <v>46032</v>
      </c>
      <c r="C46" s="6" t="s">
        <v>31</v>
      </c>
      <c r="D46" s="4" t="s">
        <v>22</v>
      </c>
      <c r="E46" s="7">
        <v>1200</v>
      </c>
    </row>
    <row r="47" spans="1:5" ht="16.5" x14ac:dyDescent="0.3">
      <c r="A47" s="11" t="s">
        <v>71</v>
      </c>
      <c r="B47" s="12">
        <v>46035</v>
      </c>
      <c r="C47" s="13" t="s">
        <v>15</v>
      </c>
      <c r="D47" s="11" t="s">
        <v>45</v>
      </c>
      <c r="E47" s="14">
        <v>796</v>
      </c>
    </row>
    <row r="48" spans="1:5" ht="16.5" x14ac:dyDescent="0.3">
      <c r="A48" s="4" t="s">
        <v>72</v>
      </c>
      <c r="B48" s="5">
        <v>46036</v>
      </c>
      <c r="C48" s="6" t="s">
        <v>10</v>
      </c>
      <c r="D48" s="4" t="s">
        <v>22</v>
      </c>
      <c r="E48" s="7">
        <v>605</v>
      </c>
    </row>
    <row r="49" spans="1:5" ht="16.5" x14ac:dyDescent="0.3">
      <c r="A49" s="11" t="s">
        <v>73</v>
      </c>
      <c r="B49" s="12">
        <v>46036</v>
      </c>
      <c r="C49" s="13" t="s">
        <v>35</v>
      </c>
      <c r="D49" s="11" t="s">
        <v>11</v>
      </c>
      <c r="E49" s="14">
        <v>168</v>
      </c>
    </row>
    <row r="50" spans="1:5" ht="16.5" x14ac:dyDescent="0.3">
      <c r="A50" s="4" t="s">
        <v>74</v>
      </c>
      <c r="B50" s="5">
        <v>46044</v>
      </c>
      <c r="C50" s="6" t="s">
        <v>35</v>
      </c>
      <c r="D50" s="4" t="s">
        <v>11</v>
      </c>
      <c r="E50" s="7">
        <v>314</v>
      </c>
    </row>
    <row r="51" spans="1:5" ht="16.5" x14ac:dyDescent="0.3">
      <c r="A51" s="11" t="s">
        <v>75</v>
      </c>
      <c r="B51" s="12">
        <v>46053</v>
      </c>
      <c r="C51" s="13" t="s">
        <v>35</v>
      </c>
      <c r="D51" s="11" t="s">
        <v>16</v>
      </c>
      <c r="E51" s="14">
        <v>888</v>
      </c>
    </row>
    <row r="52" spans="1:5" ht="16.5" x14ac:dyDescent="0.3">
      <c r="A52" s="4" t="s">
        <v>76</v>
      </c>
      <c r="B52" s="5">
        <v>46068</v>
      </c>
      <c r="C52" s="6" t="s">
        <v>21</v>
      </c>
      <c r="D52" s="4" t="s">
        <v>45</v>
      </c>
      <c r="E52" s="7">
        <v>246</v>
      </c>
    </row>
    <row r="53" spans="1:5" ht="16.5" x14ac:dyDescent="0.3">
      <c r="A53" s="11" t="s">
        <v>77</v>
      </c>
      <c r="B53" s="12">
        <v>46075</v>
      </c>
      <c r="C53" s="13" t="s">
        <v>15</v>
      </c>
      <c r="D53" s="11" t="s">
        <v>11</v>
      </c>
      <c r="E53" s="14">
        <v>389</v>
      </c>
    </row>
    <row r="54" spans="1:5" ht="16.5" x14ac:dyDescent="0.3">
      <c r="A54" s="4" t="s">
        <v>78</v>
      </c>
      <c r="B54" s="5">
        <v>46080</v>
      </c>
      <c r="C54" s="6" t="s">
        <v>10</v>
      </c>
      <c r="D54" s="4" t="s">
        <v>11</v>
      </c>
      <c r="E54" s="7">
        <v>1385</v>
      </c>
    </row>
    <row r="55" spans="1:5" ht="16.5" x14ac:dyDescent="0.3">
      <c r="A55" s="11" t="s">
        <v>79</v>
      </c>
      <c r="B55" s="12">
        <v>46084</v>
      </c>
      <c r="C55" s="13" t="s">
        <v>35</v>
      </c>
      <c r="D55" s="11" t="s">
        <v>45</v>
      </c>
      <c r="E55" s="14">
        <v>819</v>
      </c>
    </row>
    <row r="56" spans="1:5" ht="16.5" x14ac:dyDescent="0.3">
      <c r="A56" s="4" t="s">
        <v>80</v>
      </c>
      <c r="B56" s="5">
        <v>46088</v>
      </c>
      <c r="C56" s="6" t="s">
        <v>10</v>
      </c>
      <c r="D56" s="4" t="s">
        <v>16</v>
      </c>
      <c r="E56" s="7">
        <v>525</v>
      </c>
    </row>
    <row r="57" spans="1:5" ht="16.5" x14ac:dyDescent="0.3">
      <c r="A57" s="11" t="s">
        <v>81</v>
      </c>
      <c r="B57" s="12">
        <v>46090</v>
      </c>
      <c r="C57" s="13" t="s">
        <v>31</v>
      </c>
      <c r="D57" s="11" t="s">
        <v>22</v>
      </c>
      <c r="E57" s="14">
        <v>1345</v>
      </c>
    </row>
    <row r="58" spans="1:5" ht="16.5" x14ac:dyDescent="0.3">
      <c r="A58" s="4" t="s">
        <v>82</v>
      </c>
      <c r="B58" s="5">
        <v>46094</v>
      </c>
      <c r="C58" s="6" t="s">
        <v>31</v>
      </c>
      <c r="D58" s="4" t="s">
        <v>22</v>
      </c>
      <c r="E58" s="7">
        <v>506</v>
      </c>
    </row>
    <row r="59" spans="1:5" ht="16.5" x14ac:dyDescent="0.3">
      <c r="A59" s="11" t="s">
        <v>83</v>
      </c>
      <c r="B59" s="12">
        <v>46097</v>
      </c>
      <c r="C59" s="13" t="s">
        <v>15</v>
      </c>
      <c r="D59" s="11" t="s">
        <v>45</v>
      </c>
      <c r="E59" s="14">
        <v>1341</v>
      </c>
    </row>
    <row r="60" spans="1:5" ht="16.5" x14ac:dyDescent="0.3">
      <c r="A60" s="4" t="s">
        <v>84</v>
      </c>
      <c r="B60" s="5">
        <v>46098</v>
      </c>
      <c r="C60" s="6" t="s">
        <v>10</v>
      </c>
      <c r="D60" s="4" t="s">
        <v>45</v>
      </c>
      <c r="E60" s="7">
        <v>410</v>
      </c>
    </row>
    <row r="61" spans="1:5" ht="16.5" x14ac:dyDescent="0.3">
      <c r="A61" s="11" t="s">
        <v>85</v>
      </c>
      <c r="B61" s="12">
        <v>46101</v>
      </c>
      <c r="C61" s="13" t="s">
        <v>21</v>
      </c>
      <c r="D61" s="11" t="s">
        <v>11</v>
      </c>
      <c r="E61" s="14">
        <v>509</v>
      </c>
    </row>
    <row r="62" spans="1:5" ht="16.5" x14ac:dyDescent="0.3">
      <c r="A62" s="4" t="s">
        <v>86</v>
      </c>
      <c r="B62" s="5">
        <v>46102</v>
      </c>
      <c r="C62" s="6" t="s">
        <v>31</v>
      </c>
      <c r="D62" s="4" t="s">
        <v>22</v>
      </c>
      <c r="E62" s="7">
        <v>1181</v>
      </c>
    </row>
    <row r="63" spans="1:5" ht="16.5" x14ac:dyDescent="0.3">
      <c r="A63" s="11" t="s">
        <v>87</v>
      </c>
      <c r="B63" s="12">
        <v>46104</v>
      </c>
      <c r="C63" s="13" t="s">
        <v>21</v>
      </c>
      <c r="D63" s="11" t="s">
        <v>45</v>
      </c>
      <c r="E63" s="14">
        <v>482</v>
      </c>
    </row>
    <row r="64" spans="1:5" ht="16.5" x14ac:dyDescent="0.3">
      <c r="A64" s="4" t="s">
        <v>88</v>
      </c>
      <c r="B64" s="5">
        <v>46106</v>
      </c>
      <c r="C64" s="6" t="s">
        <v>10</v>
      </c>
      <c r="D64" s="4" t="s">
        <v>45</v>
      </c>
      <c r="E64" s="7">
        <v>1203</v>
      </c>
    </row>
    <row r="65" spans="1:5" ht="16.5" x14ac:dyDescent="0.3">
      <c r="A65" s="11" t="s">
        <v>89</v>
      </c>
      <c r="B65" s="12">
        <v>46108</v>
      </c>
      <c r="C65" s="13" t="s">
        <v>15</v>
      </c>
      <c r="D65" s="11" t="s">
        <v>11</v>
      </c>
      <c r="E65" s="14">
        <v>1494</v>
      </c>
    </row>
    <row r="66" spans="1:5" ht="16.5" x14ac:dyDescent="0.3">
      <c r="A66" s="4" t="s">
        <v>90</v>
      </c>
      <c r="B66" s="5">
        <v>46115</v>
      </c>
      <c r="C66" s="6" t="s">
        <v>31</v>
      </c>
      <c r="D66" s="4" t="s">
        <v>11</v>
      </c>
      <c r="E66" s="7">
        <v>576</v>
      </c>
    </row>
    <row r="67" spans="1:5" ht="16.5" x14ac:dyDescent="0.3">
      <c r="A67" s="11" t="s">
        <v>91</v>
      </c>
      <c r="B67" s="12">
        <v>46120</v>
      </c>
      <c r="C67" s="13" t="s">
        <v>31</v>
      </c>
      <c r="D67" s="11" t="s">
        <v>16</v>
      </c>
      <c r="E67" s="14">
        <v>1352</v>
      </c>
    </row>
    <row r="68" spans="1:5" ht="16.5" x14ac:dyDescent="0.3">
      <c r="A68" s="4" t="s">
        <v>92</v>
      </c>
      <c r="B68" s="5">
        <v>46124</v>
      </c>
      <c r="C68" s="6" t="s">
        <v>35</v>
      </c>
      <c r="D68" s="4" t="s">
        <v>45</v>
      </c>
      <c r="E68" s="7">
        <v>982</v>
      </c>
    </row>
    <row r="69" spans="1:5" ht="16.5" x14ac:dyDescent="0.3">
      <c r="A69" s="11" t="s">
        <v>93</v>
      </c>
      <c r="B69" s="12">
        <v>46127</v>
      </c>
      <c r="C69" s="13" t="s">
        <v>10</v>
      </c>
      <c r="D69" s="11" t="s">
        <v>11</v>
      </c>
      <c r="E69" s="14">
        <v>158</v>
      </c>
    </row>
    <row r="70" spans="1:5" ht="16.5" x14ac:dyDescent="0.3">
      <c r="A70" s="4" t="s">
        <v>94</v>
      </c>
      <c r="B70" s="5">
        <v>46136</v>
      </c>
      <c r="C70" s="6" t="s">
        <v>10</v>
      </c>
      <c r="D70" s="4" t="s">
        <v>45</v>
      </c>
      <c r="E70" s="7">
        <v>1494</v>
      </c>
    </row>
    <row r="71" spans="1:5" ht="16.5" x14ac:dyDescent="0.3">
      <c r="A71" s="11" t="s">
        <v>95</v>
      </c>
      <c r="B71" s="12">
        <v>46142</v>
      </c>
      <c r="C71" s="13" t="s">
        <v>10</v>
      </c>
      <c r="D71" s="11" t="s">
        <v>22</v>
      </c>
      <c r="E71" s="14">
        <v>638</v>
      </c>
    </row>
    <row r="72" spans="1:5" ht="16.5" x14ac:dyDescent="0.3">
      <c r="A72" s="4" t="s">
        <v>96</v>
      </c>
      <c r="B72" s="5">
        <v>46147</v>
      </c>
      <c r="C72" s="6" t="s">
        <v>15</v>
      </c>
      <c r="D72" s="4" t="s">
        <v>45</v>
      </c>
      <c r="E72" s="7">
        <v>736</v>
      </c>
    </row>
    <row r="73" spans="1:5" ht="16.5" x14ac:dyDescent="0.3">
      <c r="A73" s="11" t="s">
        <v>97</v>
      </c>
      <c r="B73" s="12">
        <v>46150</v>
      </c>
      <c r="C73" s="13" t="s">
        <v>35</v>
      </c>
      <c r="D73" s="11" t="s">
        <v>11</v>
      </c>
      <c r="E73" s="14">
        <v>474</v>
      </c>
    </row>
    <row r="74" spans="1:5" ht="16.5" x14ac:dyDescent="0.3">
      <c r="A74" s="4" t="s">
        <v>98</v>
      </c>
      <c r="B74" s="5">
        <v>46154</v>
      </c>
      <c r="C74" s="6" t="s">
        <v>10</v>
      </c>
      <c r="D74" s="4" t="s">
        <v>16</v>
      </c>
      <c r="E74" s="7">
        <v>1134</v>
      </c>
    </row>
    <row r="75" spans="1:5" ht="16.5" x14ac:dyDescent="0.3">
      <c r="A75" s="11" t="s">
        <v>99</v>
      </c>
      <c r="B75" s="12">
        <v>46155</v>
      </c>
      <c r="C75" s="13" t="s">
        <v>31</v>
      </c>
      <c r="D75" s="11" t="s">
        <v>11</v>
      </c>
      <c r="E75" s="14">
        <v>915</v>
      </c>
    </row>
    <row r="76" spans="1:5" ht="16.5" x14ac:dyDescent="0.3">
      <c r="A76" s="4" t="s">
        <v>100</v>
      </c>
      <c r="B76" s="5">
        <v>46161</v>
      </c>
      <c r="C76" s="6" t="s">
        <v>15</v>
      </c>
      <c r="D76" s="4" t="s">
        <v>45</v>
      </c>
      <c r="E76" s="7">
        <v>688</v>
      </c>
    </row>
    <row r="77" spans="1:5" ht="16.5" x14ac:dyDescent="0.3">
      <c r="A77" s="11" t="s">
        <v>101</v>
      </c>
      <c r="B77" s="12">
        <v>46162</v>
      </c>
      <c r="C77" s="13" t="s">
        <v>10</v>
      </c>
      <c r="D77" s="11" t="s">
        <v>16</v>
      </c>
      <c r="E77" s="14">
        <v>1413</v>
      </c>
    </row>
    <row r="78" spans="1:5" ht="16.5" x14ac:dyDescent="0.3">
      <c r="A78" s="4" t="s">
        <v>102</v>
      </c>
      <c r="B78" s="5">
        <v>46167</v>
      </c>
      <c r="C78" s="6" t="s">
        <v>15</v>
      </c>
      <c r="D78" s="4" t="s">
        <v>22</v>
      </c>
      <c r="E78" s="7">
        <v>1004</v>
      </c>
    </row>
    <row r="79" spans="1:5" ht="16.5" x14ac:dyDescent="0.3">
      <c r="A79" s="11" t="s">
        <v>103</v>
      </c>
      <c r="B79" s="12">
        <v>46168</v>
      </c>
      <c r="C79" s="13" t="s">
        <v>10</v>
      </c>
      <c r="D79" s="11" t="s">
        <v>11</v>
      </c>
      <c r="E79" s="14">
        <v>958</v>
      </c>
    </row>
    <row r="80" spans="1:5" ht="16.5" x14ac:dyDescent="0.3">
      <c r="A80" s="4" t="s">
        <v>104</v>
      </c>
      <c r="B80" s="5">
        <v>46170</v>
      </c>
      <c r="C80" s="6" t="s">
        <v>21</v>
      </c>
      <c r="D80" s="4" t="s">
        <v>11</v>
      </c>
      <c r="E80" s="7">
        <v>1413</v>
      </c>
    </row>
    <row r="81" spans="1:5" ht="16.5" x14ac:dyDescent="0.3">
      <c r="A81" s="11" t="s">
        <v>105</v>
      </c>
      <c r="B81" s="12">
        <v>46179</v>
      </c>
      <c r="C81" s="13" t="s">
        <v>42</v>
      </c>
      <c r="D81" s="11" t="s">
        <v>22</v>
      </c>
      <c r="E81" s="14">
        <v>763</v>
      </c>
    </row>
    <row r="82" spans="1:5" ht="16.5" x14ac:dyDescent="0.3">
      <c r="A82" s="4" t="s">
        <v>106</v>
      </c>
      <c r="B82" s="5">
        <v>46192</v>
      </c>
      <c r="C82" s="6" t="s">
        <v>35</v>
      </c>
      <c r="D82" s="4" t="s">
        <v>45</v>
      </c>
      <c r="E82" s="7">
        <v>869</v>
      </c>
    </row>
    <row r="83" spans="1:5" ht="16.5" x14ac:dyDescent="0.3">
      <c r="A83" s="11" t="s">
        <v>107</v>
      </c>
      <c r="B83" s="12">
        <v>46201</v>
      </c>
      <c r="C83" s="13" t="s">
        <v>31</v>
      </c>
      <c r="D83" s="11" t="s">
        <v>16</v>
      </c>
      <c r="E83" s="14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15" customWidth="1"/>
    <col min="2" max="2" width="14" customWidth="1"/>
    <col min="3" max="3" width="151" customWidth="1"/>
  </cols>
  <sheetData>
    <row r="1" spans="1:3" ht="16.5" x14ac:dyDescent="0.3">
      <c r="A1" s="1" t="s">
        <v>108</v>
      </c>
    </row>
    <row r="3" spans="1:3" ht="16.5" x14ac:dyDescent="0.3">
      <c r="A3" s="3" t="s">
        <v>6</v>
      </c>
      <c r="B3" s="3" t="s">
        <v>109</v>
      </c>
      <c r="C3" s="3" t="s">
        <v>8</v>
      </c>
    </row>
    <row r="4" spans="1:3" ht="16.5" x14ac:dyDescent="0.3">
      <c r="A4" s="8" t="s">
        <v>29</v>
      </c>
      <c r="B4" s="9" t="s">
        <v>110</v>
      </c>
      <c r="C4" s="10">
        <f>SUMIFS('Task 1 - Group Month Year'!E4:E83, 'Task 1 - Group Month Year'!B4:B83, "&gt;=2026-01-01", 'Task 1 - Group Month Year'!B4:B83, "&lt;=2026-03-31")</f>
        <v>18034</v>
      </c>
    </row>
    <row r="5" spans="1:3" ht="16.5" x14ac:dyDescent="0.3">
      <c r="A5" s="8"/>
      <c r="B5" s="9" t="s">
        <v>111</v>
      </c>
      <c r="C5" s="10">
        <f>SUMIFS('Task 1 - Group Month Year'!E4:E83, 'Task 1 - Group Month Year'!B4:B83, "&gt;=2026-04-01", 'Task 1 - Group Month Year'!B4:B83, "&lt;=2026-06-30")</f>
        <v>15861</v>
      </c>
    </row>
    <row r="6" spans="1:3" ht="16.5" x14ac:dyDescent="0.3">
      <c r="A6" s="15" t="s">
        <v>36</v>
      </c>
      <c r="B6" s="16"/>
      <c r="C6" s="17">
        <f>SUM(C4:C5)</f>
        <v>33895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cols>
    <col min="1" max="1" width="14" customWidth="1"/>
    <col min="2" max="2" width="36" customWidth="1"/>
    <col min="3" max="3" width="117" customWidth="1"/>
    <col min="4" max="4" width="38" customWidth="1"/>
  </cols>
  <sheetData>
    <row r="1" spans="1:4" ht="16.5" x14ac:dyDescent="0.3">
      <c r="A1" s="1" t="s">
        <v>112</v>
      </c>
    </row>
    <row r="3" spans="1:4" ht="16.5" x14ac:dyDescent="0.3">
      <c r="A3" s="3" t="s">
        <v>7</v>
      </c>
      <c r="B3" s="3" t="s">
        <v>8</v>
      </c>
      <c r="C3" s="3" t="s">
        <v>113</v>
      </c>
      <c r="D3" s="3" t="s">
        <v>114</v>
      </c>
    </row>
    <row r="4" spans="1:4" ht="16.5" x14ac:dyDescent="0.3">
      <c r="A4" s="9" t="s">
        <v>13</v>
      </c>
      <c r="B4" s="10">
        <f>'Task 1 - Group Month Year'!I10</f>
        <v>6199</v>
      </c>
      <c r="C4" s="18">
        <f>COUNTIFS('Task 1 - Group Month Year'!B4:B83, "&gt;=2026-01-01", 'Task 1 - Group Month Year'!B4:B83, "&lt;=2026-01-31")</f>
        <v>8</v>
      </c>
      <c r="D4" s="19">
        <f>B4/C4</f>
        <v>774.875</v>
      </c>
    </row>
    <row r="5" spans="1:4" ht="16.5" x14ac:dyDescent="0.3">
      <c r="A5" s="9" t="s">
        <v>17</v>
      </c>
      <c r="B5" s="10">
        <f>'Task 1 - Group Month Year'!I11</f>
        <v>2020</v>
      </c>
      <c r="C5" s="18">
        <f>COUNTIFS('Task 1 - Group Month Year'!B4:B83, "&gt;=2026-02-01", 'Task 1 - Group Month Year'!B4:B83, "&lt;=2026-02-28")</f>
        <v>3</v>
      </c>
      <c r="D5" s="19">
        <f>B5/C5</f>
        <v>673.33333333333337</v>
      </c>
    </row>
    <row r="6" spans="1:4" ht="16.5" x14ac:dyDescent="0.3">
      <c r="A6" s="9" t="s">
        <v>19</v>
      </c>
      <c r="B6" s="10">
        <f>'Task 1 - Group Month Year'!I12</f>
        <v>9815</v>
      </c>
      <c r="C6" s="18">
        <f>COUNTIFS('Task 1 - Group Month Year'!B4:B83, "&gt;=2026-02-01", 'Task 1 - Group Month Year'!B4:B83, "&lt;=2026-02-31")</f>
        <v>0</v>
      </c>
      <c r="D6" s="19" t="e">
        <f>B6/C6</f>
        <v>#DIV/0!</v>
      </c>
    </row>
    <row r="7" spans="1:4" ht="16.5" x14ac:dyDescent="0.3">
      <c r="A7" s="9" t="s">
        <v>23</v>
      </c>
      <c r="B7" s="10">
        <f>'Task 1 - Group Month Year'!I13</f>
        <v>5200</v>
      </c>
      <c r="C7" s="18">
        <f>COUNTIFS('Task 1 - Group Month Year'!B4:B83, "&gt;=2026-04-01", 'Task 1 - Group Month Year'!B4:B83, "&lt;=2026-04-30")</f>
        <v>6</v>
      </c>
      <c r="D7" s="19">
        <f>B7/C7</f>
        <v>866.66666666666663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5" x14ac:dyDescent="0.25"/>
  <cols>
    <col min="1" max="1" width="14" customWidth="1"/>
    <col min="2" max="2" width="24" customWidth="1"/>
    <col min="3" max="4" width="14" customWidth="1"/>
    <col min="5" max="5" width="24" customWidth="1"/>
  </cols>
  <sheetData>
    <row r="1" spans="1:5" ht="16.5" x14ac:dyDescent="0.3">
      <c r="A1" s="1" t="s">
        <v>115</v>
      </c>
    </row>
    <row r="3" spans="1:5" ht="16.5" x14ac:dyDescent="0.3">
      <c r="A3" s="3" t="s">
        <v>7</v>
      </c>
      <c r="B3" s="3" t="s">
        <v>116</v>
      </c>
      <c r="E3" s="20" t="s">
        <v>117</v>
      </c>
    </row>
    <row r="4" spans="1:5" x14ac:dyDescent="0.25">
      <c r="A4" s="9" t="s">
        <v>13</v>
      </c>
      <c r="B4" s="10">
        <f>SUMIFS('Task 1 - Group Month Year'!E4:E83, 'Task 1 - Group Month Year'!B4:B83, "&gt;=2026-01-01", 'Task 1 - Group Month Year'!B4:B83, "&lt;=2026-01-31", 'Task 1 - Group Month Year'!C4:C83, "Burger King")</f>
        <v>1500</v>
      </c>
      <c r="E4" s="21" t="s">
        <v>118</v>
      </c>
    </row>
    <row r="5" spans="1:5" ht="16.5" x14ac:dyDescent="0.3">
      <c r="A5" s="9" t="s">
        <v>17</v>
      </c>
      <c r="B5" s="10">
        <f>SUMIFS('Task 1 - Group Month Year'!E4:E83, 'Task 1 - Group Month Year'!B4:B83, "&gt;=2026-02-01", 'Task 1 - Group Month Year'!B4:B83, "&lt;=2026-02-28", 'Task 1 - Group Month Year'!C4:C83, "Burger King")</f>
        <v>1385</v>
      </c>
      <c r="E5" s="22" t="s">
        <v>119</v>
      </c>
    </row>
    <row r="6" spans="1:5" x14ac:dyDescent="0.25">
      <c r="A6" s="9" t="s">
        <v>19</v>
      </c>
      <c r="B6" s="10">
        <f>SUMIFS('Task 1 - Group Month Year'!E4:E83, 'Task 1 - Group Month Year'!B4:B83, "&gt;=2026-02-01", 'Task 1 - Group Month Year'!B4:B83, "&lt;=2026-02-31", 'Task 1 - Group Month Year'!C4:C83, "Burger King")</f>
        <v>0</v>
      </c>
      <c r="E6" s="21" t="s">
        <v>21</v>
      </c>
    </row>
    <row r="7" spans="1:5" x14ac:dyDescent="0.25">
      <c r="A7" s="9" t="s">
        <v>23</v>
      </c>
      <c r="B7" s="10">
        <f>SUMIFS('Task 1 - Group Month Year'!E4:E83, 'Task 1 - Group Month Year'!B4:B83, "&gt;=2026-04-01", 'Task 1 - Group Month Year'!B4:B83, "&lt;=2026-04-30", 'Task 1 - Group Month Year'!C4:C83, "Burger King")</f>
        <v>2290</v>
      </c>
      <c r="E7" s="21" t="s">
        <v>35</v>
      </c>
    </row>
    <row r="8" spans="1:5" x14ac:dyDescent="0.25">
      <c r="E8" s="21" t="s">
        <v>31</v>
      </c>
    </row>
    <row r="9" spans="1:5" x14ac:dyDescent="0.25">
      <c r="E9" s="21" t="s">
        <v>15</v>
      </c>
    </row>
    <row r="10" spans="1:5" x14ac:dyDescent="0.25">
      <c r="E10" s="21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tabSelected="1" workbookViewId="0"/>
  </sheetViews>
  <sheetFormatPr defaultRowHeight="15" x14ac:dyDescent="0.25"/>
  <cols>
    <col min="1" max="1" width="201" customWidth="1"/>
  </cols>
  <sheetData>
    <row r="1" spans="1:1" ht="16.5" x14ac:dyDescent="0.3">
      <c r="A1" s="1" t="s">
        <v>120</v>
      </c>
    </row>
    <row r="3" spans="1:1" ht="16.5" x14ac:dyDescent="0.3">
      <c r="A3" s="23" t="s">
        <v>121</v>
      </c>
    </row>
    <row r="4" spans="1:1" x14ac:dyDescent="0.25">
      <c r="A4" s="24" t="s">
        <v>122</v>
      </c>
    </row>
    <row r="5" spans="1:1" x14ac:dyDescent="0.25">
      <c r="A5" s="24" t="s">
        <v>123</v>
      </c>
    </row>
    <row r="6" spans="1:1" x14ac:dyDescent="0.25">
      <c r="A6" s="24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Group Month Year</vt:lpstr>
      <vt:lpstr>Task 2 - Quarterly Trend</vt:lpstr>
      <vt:lpstr>Task 3 - Calculated Field</vt:lpstr>
      <vt:lpstr>Task 4 - Pivot Slicer</vt:lpstr>
      <vt:lpstr>Task 5 - Drill Down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2026-07-08T10:16:24Z</dcterms:created>
  <dcterms:modified xsi:type="dcterms:W3CDTF">2026-07-08T10:18:24Z</dcterms:modified>
</cp:coreProperties>
</file>