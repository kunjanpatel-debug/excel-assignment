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CASESTUDY\"/>
    </mc:Choice>
  </mc:AlternateContent>
  <xr:revisionPtr revIDLastSave="0" documentId="13_ncr:1_{FAA77721-0F11-4950-AD4D-8021C145F00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sk 1 and 3 - Clean Data" sheetId="1" r:id="rId1"/>
    <sheet name="Task 2 - Regional Analysis" sheetId="2" r:id="rId2"/>
    <sheet name="Task 4 - Sales Dashboard" sheetId="3" r:id="rId3"/>
    <sheet name="Task 5 - Top Sub-Categ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13" i="3"/>
  <c r="B12" i="3"/>
  <c r="B11" i="3"/>
  <c r="C7" i="2"/>
  <c r="B7" i="2"/>
  <c r="C6" i="2"/>
  <c r="B6" i="2"/>
  <c r="C5" i="2"/>
  <c r="B5" i="2"/>
  <c r="C4" i="2"/>
  <c r="C8" i="2" s="1"/>
  <c r="D7" i="3" s="1"/>
  <c r="B4" i="2"/>
  <c r="B8" i="2" s="1"/>
  <c r="A7" i="3" s="1"/>
</calcChain>
</file>

<file path=xl/sharedStrings.xml><?xml version="1.0" encoding="utf-8"?>
<sst xmlns="http://schemas.openxmlformats.org/spreadsheetml/2006/main" count="883" uniqueCount="304">
  <si>
    <t>Task 1 &amp; 3: Superstore Dataset cleaned of duplicates. Conditional formatting applied to cells with Discount &gt; 20% and negative Profit.</t>
  </si>
  <si>
    <t>Order ID</t>
  </si>
  <si>
    <t>Order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</si>
  <si>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</si>
  <si>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</si>
  <si>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</si>
  <si>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</si>
  <si>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</si>
  <si>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</si>
  <si>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</si>
  <si>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</si>
  <si>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</si>
  <si>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</si>
  <si>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</si>
  <si>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</si>
  <si>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</si>
  <si>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</si>
  <si>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CA-2026-100001</t>
  </si>
  <si>
    <t>2026-03-02</t>
  </si>
  <si>
    <t>First Class</t>
  </si>
  <si>
    <t>CG-10001</t>
  </si>
  <si>
    <t>Consumer</t>
  </si>
  <si>
    <t>United States</t>
  </si>
  <si>
    <t>Chicago</t>
  </si>
  <si>
    <t>Pennsylvania</t>
  </si>
  <si>
    <t>East</t>
  </si>
  <si>
    <t>OFF-FA-1000001</t>
  </si>
  <si>
    <t>Office Supplies</t>
  </si>
  <si>
    <t>Binders</t>
  </si>
  <si>
    <t>CA-2026-100002</t>
  </si>
  <si>
    <t>2026-03-03</t>
  </si>
  <si>
    <t>Standard Class</t>
  </si>
  <si>
    <t>CG-10002</t>
  </si>
  <si>
    <t>Home Office</t>
  </si>
  <si>
    <t>Philadelphia</t>
  </si>
  <si>
    <t>California</t>
  </si>
  <si>
    <t>South</t>
  </si>
  <si>
    <t>OFF-FA-1000002</t>
  </si>
  <si>
    <t>Furniture</t>
  </si>
  <si>
    <t>Tables</t>
  </si>
  <si>
    <t>CA-2026-100003</t>
  </si>
  <si>
    <t>2026-03-04</t>
  </si>
  <si>
    <t>Same Day</t>
  </si>
  <si>
    <t>CG-10003</t>
  </si>
  <si>
    <t>Corporate</t>
  </si>
  <si>
    <t>Texas</t>
  </si>
  <si>
    <t>OFF-FA-1000003</t>
  </si>
  <si>
    <t>Technology</t>
  </si>
  <si>
    <t>Accessories</t>
  </si>
  <si>
    <t>CA-2026-100004</t>
  </si>
  <si>
    <t>2026-03-06</t>
  </si>
  <si>
    <t>CG-10005</t>
  </si>
  <si>
    <t>Houston</t>
  </si>
  <si>
    <t>West</t>
  </si>
  <si>
    <t>OFF-FA-1000005</t>
  </si>
  <si>
    <t>Copiers</t>
  </si>
  <si>
    <t>CA-2026-100005</t>
  </si>
  <si>
    <t>2026-03-07</t>
  </si>
  <si>
    <t>CG-10006</t>
  </si>
  <si>
    <t>New York</t>
  </si>
  <si>
    <t>OFF-FA-1000006</t>
  </si>
  <si>
    <t>Furnishings</t>
  </si>
  <si>
    <t>CA-2026-100006</t>
  </si>
  <si>
    <t>2026-03-08</t>
  </si>
  <si>
    <t>Second Class</t>
  </si>
  <si>
    <t>CG-10007</t>
  </si>
  <si>
    <t>Los Angeles</t>
  </si>
  <si>
    <t>OFF-FA-1000007</t>
  </si>
  <si>
    <t>CA-2026-100007</t>
  </si>
  <si>
    <t>2026-03-09</t>
  </si>
  <si>
    <t>CG-10008</t>
  </si>
  <si>
    <t>OFF-FA-1000008</t>
  </si>
  <si>
    <t>Machines</t>
  </si>
  <si>
    <t>CA-2026-100008</t>
  </si>
  <si>
    <t>2026-03-10</t>
  </si>
  <si>
    <t>CG-10009</t>
  </si>
  <si>
    <t>OFF-FA-1000009</t>
  </si>
  <si>
    <t>Phones</t>
  </si>
  <si>
    <t>CA-2026-100009</t>
  </si>
  <si>
    <t>2026-03-11</t>
  </si>
  <si>
    <t>CG-10010</t>
  </si>
  <si>
    <t>New York City</t>
  </si>
  <si>
    <t>OFF-FA-1000010</t>
  </si>
  <si>
    <t>Paper</t>
  </si>
  <si>
    <t>CA-2026-100010</t>
  </si>
  <si>
    <t>2026-03-12</t>
  </si>
  <si>
    <t>CG-10011</t>
  </si>
  <si>
    <t>OFF-FA-1000011</t>
  </si>
  <si>
    <t>Storage</t>
  </si>
  <si>
    <t>CA-2026-100011</t>
  </si>
  <si>
    <t>2026-03-13</t>
  </si>
  <si>
    <t>CG-10012</t>
  </si>
  <si>
    <t>Illinois</t>
  </si>
  <si>
    <t>Central</t>
  </si>
  <si>
    <t>OFF-FA-1000012</t>
  </si>
  <si>
    <t>CA-2026-100012</t>
  </si>
  <si>
    <t>2026-03-14</t>
  </si>
  <si>
    <t>CG-10013</t>
  </si>
  <si>
    <t>OFF-FA-1000013</t>
  </si>
  <si>
    <t>CA-2026-100013</t>
  </si>
  <si>
    <t>2026-03-15</t>
  </si>
  <si>
    <t>CG-10014</t>
  </si>
  <si>
    <t>OFF-FA-1000014</t>
  </si>
  <si>
    <t>Fasteners</t>
  </si>
  <si>
    <t>CA-2026-100014</t>
  </si>
  <si>
    <t>2026-03-16</t>
  </si>
  <si>
    <t>CG-10015</t>
  </si>
  <si>
    <t>OFF-FA-1000015</t>
  </si>
  <si>
    <t>CA-2026-100015</t>
  </si>
  <si>
    <t>2026-03-17</t>
  </si>
  <si>
    <t>CG-10016</t>
  </si>
  <si>
    <t>OFF-FA-1000016</t>
  </si>
  <si>
    <t>CA-2026-100016</t>
  </si>
  <si>
    <t>2026-03-18</t>
  </si>
  <si>
    <t>CG-10017</t>
  </si>
  <si>
    <t>OFF-FA-1000017</t>
  </si>
  <si>
    <t>CA-2026-100017</t>
  </si>
  <si>
    <t>2026-03-20</t>
  </si>
  <si>
    <t>CG-10019</t>
  </si>
  <si>
    <t>OFF-FA-1000019</t>
  </si>
  <si>
    <t>CA-2026-100018</t>
  </si>
  <si>
    <t>2026-03-21</t>
  </si>
  <si>
    <t>CG-10020</t>
  </si>
  <si>
    <t>OFF-FA-1000020</t>
  </si>
  <si>
    <t>CA-2026-100019</t>
  </si>
  <si>
    <t>2026-03-22</t>
  </si>
  <si>
    <t>CG-10021</t>
  </si>
  <si>
    <t>OFF-FA-1000021</t>
  </si>
  <si>
    <t>CA-2026-100020</t>
  </si>
  <si>
    <t>2026-03-23</t>
  </si>
  <si>
    <t>CG-10022</t>
  </si>
  <si>
    <t>OFF-FA-1000022</t>
  </si>
  <si>
    <t>CA-2026-100021</t>
  </si>
  <si>
    <t>2026-03-24</t>
  </si>
  <si>
    <t>CG-10023</t>
  </si>
  <si>
    <t>OFF-FA-1000023</t>
  </si>
  <si>
    <t>Art</t>
  </si>
  <si>
    <t>CA-2026-100022</t>
  </si>
  <si>
    <t>2026-03-25</t>
  </si>
  <si>
    <t>CG-10024</t>
  </si>
  <si>
    <t>OFF-FA-1000024</t>
  </si>
  <si>
    <t>CA-2026-100023</t>
  </si>
  <si>
    <t>2026-03-26</t>
  </si>
  <si>
    <t>CG-10025</t>
  </si>
  <si>
    <t>OFF-FA-1000025</t>
  </si>
  <si>
    <t>CA-2026-100024</t>
  </si>
  <si>
    <t>2026-03-27</t>
  </si>
  <si>
    <t>CG-10026</t>
  </si>
  <si>
    <t>OFF-FA-1000026</t>
  </si>
  <si>
    <t>CA-2026-100025</t>
  </si>
  <si>
    <t>2026-03-28</t>
  </si>
  <si>
    <t>CG-10027</t>
  </si>
  <si>
    <t>OFF-FA-1000027</t>
  </si>
  <si>
    <t>Bookcases</t>
  </si>
  <si>
    <t>CA-2026-100026</t>
  </si>
  <si>
    <t>2026-03-01</t>
  </si>
  <si>
    <t>CG-10028</t>
  </si>
  <si>
    <t>OFF-FA-1000028</t>
  </si>
  <si>
    <t>CA-2026-100027</t>
  </si>
  <si>
    <t>CG-10029</t>
  </si>
  <si>
    <t>OFF-FA-1000029</t>
  </si>
  <si>
    <t>CA-2026-100028</t>
  </si>
  <si>
    <t>CG-10030</t>
  </si>
  <si>
    <t>OFF-FA-1000030</t>
  </si>
  <si>
    <t>CA-2026-100029</t>
  </si>
  <si>
    <t>CG-10031</t>
  </si>
  <si>
    <t>OFF-FA-1000031</t>
  </si>
  <si>
    <t>CA-2026-100030</t>
  </si>
  <si>
    <t>2026-03-05</t>
  </si>
  <si>
    <t>CG-10032</t>
  </si>
  <si>
    <t>OFF-FA-1000032</t>
  </si>
  <si>
    <t>CA-2026-100031</t>
  </si>
  <si>
    <t>CG-10033</t>
  </si>
  <si>
    <t>OFF-FA-1000033</t>
  </si>
  <si>
    <t>CA-2026-100032</t>
  </si>
  <si>
    <t>CG-10034</t>
  </si>
  <si>
    <t>OFF-FA-1000034</t>
  </si>
  <si>
    <t>CA-2026-100033</t>
  </si>
  <si>
    <t>CG-10035</t>
  </si>
  <si>
    <t>OFF-FA-1000035</t>
  </si>
  <si>
    <t>CA-2026-100034</t>
  </si>
  <si>
    <t>CG-10036</t>
  </si>
  <si>
    <t>OFF-FA-1000036</t>
  </si>
  <si>
    <t>CA-2026-100035</t>
  </si>
  <si>
    <t>CG-10037</t>
  </si>
  <si>
    <t>OFF-FA-1000037</t>
  </si>
  <si>
    <t>CA-2026-100036</t>
  </si>
  <si>
    <t>CG-10039</t>
  </si>
  <si>
    <t>OFF-FA-1000039</t>
  </si>
  <si>
    <t>CA-2026-100037</t>
  </si>
  <si>
    <t>CG-10040</t>
  </si>
  <si>
    <t>OFF-FA-1000040</t>
  </si>
  <si>
    <t>CA-2026-100038</t>
  </si>
  <si>
    <t>CG-10041</t>
  </si>
  <si>
    <t>OFF-FA-1000041</t>
  </si>
  <si>
    <t>CA-2026-100039</t>
  </si>
  <si>
    <t>CG-10042</t>
  </si>
  <si>
    <t>OFF-FA-1000042</t>
  </si>
  <si>
    <t>CA-2026-100040</t>
  </si>
  <si>
    <t>CG-10043</t>
  </si>
  <si>
    <t>OFF-FA-1000043</t>
  </si>
  <si>
    <t>CA-2026-100041</t>
  </si>
  <si>
    <t>CG-10044</t>
  </si>
  <si>
    <t>OFF-FA-1000044</t>
  </si>
  <si>
    <t>CA-2026-100042</t>
  </si>
  <si>
    <t>CG-10045</t>
  </si>
  <si>
    <t>OFF-FA-1000045</t>
  </si>
  <si>
    <t>CA-2026-100043</t>
  </si>
  <si>
    <t>2026-03-19</t>
  </si>
  <si>
    <t>CG-10046</t>
  </si>
  <si>
    <t>OFF-FA-1000046</t>
  </si>
  <si>
    <t>CA-2026-100044</t>
  </si>
  <si>
    <t>CG-10047</t>
  </si>
  <si>
    <t>OFF-FA-1000047</t>
  </si>
  <si>
    <t>CA-2026-100045</t>
  </si>
  <si>
    <t>CG-10048</t>
  </si>
  <si>
    <t>OFF-FA-1000048</t>
  </si>
  <si>
    <t>CA-2026-100046</t>
  </si>
  <si>
    <t>CG-10049</t>
  </si>
  <si>
    <t>OFF-FA-1000049</t>
  </si>
  <si>
    <t>Chairs</t>
  </si>
  <si>
    <t>CA-2026-100047</t>
  </si>
  <si>
    <t>CG-10050</t>
  </si>
  <si>
    <t>OFF-FA-1000050</t>
  </si>
  <si>
    <t>CA-2026-100048</t>
  </si>
  <si>
    <t>CG-10051</t>
  </si>
  <si>
    <t>OFF-FA-1000051</t>
  </si>
  <si>
    <t>CA-2026-100049</t>
  </si>
  <si>
    <t>CG-10052</t>
  </si>
  <si>
    <t>OFF-FA-1000052</t>
  </si>
  <si>
    <t>CA-2026-100050</t>
  </si>
  <si>
    <t>CG-10053</t>
  </si>
  <si>
    <t>OFF-FA-1000053</t>
  </si>
  <si>
    <t>CA-2026-100051</t>
  </si>
  <si>
    <t>CG-10054</t>
  </si>
  <si>
    <t>OFF-FA-1000054</t>
  </si>
  <si>
    <t>CA-2026-100052</t>
  </si>
  <si>
    <t>CG-10055</t>
  </si>
  <si>
    <t>OFF-FA-1000055</t>
  </si>
  <si>
    <t>CA-2026-100053</t>
  </si>
  <si>
    <t>CG-10056</t>
  </si>
  <si>
    <t>OFF-FA-1000056</t>
  </si>
  <si>
    <t>CA-2026-100054</t>
  </si>
  <si>
    <t>CG-10058</t>
  </si>
  <si>
    <t>OFF-FA-1000058</t>
  </si>
  <si>
    <t>CA-2026-100055</t>
  </si>
  <si>
    <t>CG-10059</t>
  </si>
  <si>
    <t>OFF-FA-1000059</t>
  </si>
  <si>
    <t>CA-2026-100056</t>
  </si>
  <si>
    <t>CG-10060</t>
  </si>
  <si>
    <t>OFF-FA-1000060</t>
  </si>
  <si>
    <t>CA-2026-100057</t>
  </si>
  <si>
    <t>CG-10061</t>
  </si>
  <si>
    <t>OFF-FA-1000061</t>
  </si>
  <si>
    <t>CA-2026-100058</t>
  </si>
  <si>
    <t>CG-10062</t>
  </si>
  <si>
    <t>OFF-FA-1000062</t>
  </si>
  <si>
    <t>CA-2026-100059</t>
  </si>
  <si>
    <t>CG-10063</t>
  </si>
  <si>
    <t>OFF-FA-1000063</t>
  </si>
  <si>
    <t>CA-2026-100060</t>
  </si>
  <si>
    <t>CG-10064</t>
  </si>
  <si>
    <t>OFF-FA-1000064</t>
  </si>
  <si>
    <t>CA-2026-100061</t>
  </si>
  <si>
    <t>CG-10065</t>
  </si>
  <si>
    <t>OFF-FA-1000065</t>
  </si>
  <si>
    <t>CA-2026-100062</t>
  </si>
  <si>
    <t>CG-10066</t>
  </si>
  <si>
    <t>OFF-FA-1000066</t>
  </si>
  <si>
    <t>CA-2026-100063</t>
  </si>
  <si>
    <t>CG-10068</t>
  </si>
  <si>
    <t>OFF-FA-1000068</t>
  </si>
  <si>
    <t>CA-2026-100064</t>
  </si>
  <si>
    <t>CG-10069</t>
  </si>
  <si>
    <t>OFF-FA-1000069</t>
  </si>
  <si>
    <t>CA-2026-100065</t>
  </si>
  <si>
    <t>CG-10070</t>
  </si>
  <si>
    <t>OFF-FA-1000070</t>
  </si>
  <si>
    <t>CA-2026-100066</t>
  </si>
  <si>
    <t>CG-10071</t>
  </si>
  <si>
    <t>OFF-FA-1000071</t>
  </si>
  <si>
    <t>CA-2026-100067</t>
  </si>
  <si>
    <t>CG-10072</t>
  </si>
  <si>
    <t>OFF-FA-1000072</t>
  </si>
  <si>
    <t>CA-2026-100068</t>
  </si>
  <si>
    <t>CG-10073</t>
  </si>
  <si>
    <t>OFF-FA-1000073</t>
  </si>
  <si>
    <t>CA-2026-100069</t>
  </si>
  <si>
    <t>CG-10074</t>
  </si>
  <si>
    <t>OFF-FA-1000074</t>
  </si>
  <si>
    <t>CA-2026-100070</t>
  </si>
  <si>
    <t>CG-10075</t>
  </si>
  <si>
    <t>OFF-FA-1000075</t>
  </si>
  <si>
    <t>Task 2: Pivot Table to analyze total Sales and Profit by Region, identifying the highest profit margins.</t>
  </si>
  <si>
    <t>Sum of Sales</t>
  </si>
  <si>
    <t>Sum of Profit</t>
  </si>
  <si>
    <t>Grand Total</t>
  </si>
  <si>
    <t>Task 4: Retail Sales Performance Dashboard</t>
  </si>
  <si>
    <t xml:space="preserve">   RETAIL STORE SALES PERFORMANCE EXECUTIVE DASHBOARD</t>
  </si>
  <si>
    <t>Total Company Sales</t>
  </si>
  <si>
    <t>Total Company Profit</t>
  </si>
  <si>
    <t>Sales Summary</t>
  </si>
  <si>
    <t>Task 5: Identification of Top 5 Most Profitable Product Sub-Categories</t>
  </si>
  <si>
    <t>Calculated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</si>
</sst>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color rgb="FF9C0006"/>
      <name val="Segoe UI"/>
    </font>
    <font>
      <b/>
      <sz val="11"/>
      <color rgb="FFFFFFFF"/>
      <name val="Segoe UI"/>
    </font>
    <font>
      <b/>
      <sz val="11"/>
      <name val="Segoe UI"/>
    </font>
    <font>
      <i/>
      <sz val="10"/>
      <color rgb="FF595959"/>
      <name val="Segoe UI"/>
    </font>
    <font>
      <b/>
      <sz val="13"/>
      <color rgb="FFFFFFFF"/>
      <name val="Segoe UI"/>
    </font>
    <font>
      <sz val="10"/>
      <color rgb="FF595959"/>
      <name val="Segoe UI"/>
    </font>
    <font>
      <b/>
      <sz val="14"/>
      <color rgb="FF1F497D"/>
      <name val="Segoe UI"/>
    </font>
    <font>
      <i/>
      <sz val="10"/>
      <color rgb="FF1F497D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F3F4F6"/>
        <bgColor rgb="FFF3F4F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8" fillId="6" borderId="1" xfId="0" applyNumberFormat="1" applyFont="1" applyFill="1" applyBorder="1" applyAlignment="1">
      <alignment horizontal="center"/>
    </xf>
    <xf numFmtId="0" fontId="0" fillId="0" borderId="1" xfId="0" applyBorder="1"/>
    <xf numFmtId="0" fontId="7" fillId="6" borderId="1" xfId="0" applyFont="1" applyFill="1" applyBorder="1" applyAlignment="1">
      <alignment horizontal="center"/>
    </xf>
    <xf numFmtId="0" fontId="6" fillId="3" borderId="0" xfId="0" applyFont="1" applyFill="1" applyAlignment="1">
      <alignment vertical="center"/>
    </xf>
    <xf numFmtId="0" fontId="0" fillId="0" borderId="0" xfId="0"/>
    <xf numFmtId="0" fontId="9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Volume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4 - Sales Dashboard'!$B$10</c:f>
              <c:strCache>
                <c:ptCount val="1"/>
                <c:pt idx="0">
                  <c:v>Sales Summary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'Task 4 - Sales Dashboard'!$A$11:$A$13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'Task 4 - Sales Dashboard'!$B$11:$B$13</c:f>
              <c:numCache>
                <c:formatCode>\$#,##0</c:formatCode>
                <c:ptCount val="3"/>
                <c:pt idx="0">
                  <c:v>31201</c:v>
                </c:pt>
                <c:pt idx="1">
                  <c:v>20747</c:v>
                </c:pt>
                <c:pt idx="2">
                  <c:v>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F-4011-951A-9DE13E21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opLeftCell="A39" workbookViewId="0"/>
  </sheetViews>
  <sheetFormatPr defaultRowHeight="15" x14ac:dyDescent="0.25"/>
  <cols>
    <col min="1" max="1" width="16" customWidth="1"/>
    <col min="2" max="2" width="14" customWidth="1"/>
    <col min="3" max="3" width="18" customWidth="1"/>
    <col min="4" max="5" width="15" customWidth="1"/>
    <col min="6" max="7" width="17" customWidth="1"/>
    <col min="8" max="8" width="16" customWidth="1"/>
    <col min="9" max="9" width="14" customWidth="1"/>
    <col min="10" max="10" width="16" customWidth="1"/>
    <col min="11" max="11" width="19" customWidth="1"/>
    <col min="12" max="12" width="16" customWidth="1"/>
    <col min="13" max="16" width="14" customWidth="1"/>
  </cols>
  <sheetData>
    <row r="1" spans="1:16" ht="16.5" x14ac:dyDescent="0.3">
      <c r="A1" s="1" t="s">
        <v>0</v>
      </c>
    </row>
    <row r="3" spans="1:16" ht="16.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 x14ac:dyDescent="0.25">
      <c r="A4" s="3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3" t="s">
        <v>22</v>
      </c>
      <c r="G4" s="4" t="s">
        <v>23</v>
      </c>
      <c r="H4" s="4" t="s">
        <v>24</v>
      </c>
      <c r="I4" s="3" t="s">
        <v>25</v>
      </c>
      <c r="J4" s="4" t="s">
        <v>26</v>
      </c>
      <c r="K4" s="4" t="s">
        <v>27</v>
      </c>
      <c r="L4" s="4" t="s">
        <v>28</v>
      </c>
      <c r="M4" s="5">
        <v>1258</v>
      </c>
      <c r="N4" s="6">
        <v>8</v>
      </c>
      <c r="O4" s="7">
        <v>0.15</v>
      </c>
      <c r="P4" s="5">
        <v>77</v>
      </c>
    </row>
    <row r="5" spans="1:16" x14ac:dyDescent="0.25">
      <c r="A5" s="8" t="s">
        <v>29</v>
      </c>
      <c r="B5" s="8" t="s">
        <v>30</v>
      </c>
      <c r="C5" s="9" t="s">
        <v>31</v>
      </c>
      <c r="D5" s="9" t="s">
        <v>32</v>
      </c>
      <c r="E5" s="9" t="s">
        <v>33</v>
      </c>
      <c r="F5" s="8" t="s">
        <v>22</v>
      </c>
      <c r="G5" s="9" t="s">
        <v>34</v>
      </c>
      <c r="H5" s="9" t="s">
        <v>35</v>
      </c>
      <c r="I5" s="8" t="s">
        <v>36</v>
      </c>
      <c r="J5" s="9" t="s">
        <v>37</v>
      </c>
      <c r="K5" s="9" t="s">
        <v>38</v>
      </c>
      <c r="L5" s="9" t="s">
        <v>39</v>
      </c>
      <c r="M5" s="10">
        <v>1235</v>
      </c>
      <c r="N5" s="11">
        <v>1</v>
      </c>
      <c r="O5" s="12">
        <v>0.1</v>
      </c>
      <c r="P5" s="10">
        <v>306</v>
      </c>
    </row>
    <row r="6" spans="1:16" x14ac:dyDescent="0.25">
      <c r="A6" s="3" t="s">
        <v>40</v>
      </c>
      <c r="B6" s="3" t="s">
        <v>41</v>
      </c>
      <c r="C6" s="4" t="s">
        <v>42</v>
      </c>
      <c r="D6" s="4" t="s">
        <v>43</v>
      </c>
      <c r="E6" s="4" t="s">
        <v>44</v>
      </c>
      <c r="F6" s="3" t="s">
        <v>22</v>
      </c>
      <c r="G6" s="4" t="s">
        <v>34</v>
      </c>
      <c r="H6" s="4" t="s">
        <v>45</v>
      </c>
      <c r="I6" s="3" t="s">
        <v>25</v>
      </c>
      <c r="J6" s="4" t="s">
        <v>46</v>
      </c>
      <c r="K6" s="4" t="s">
        <v>47</v>
      </c>
      <c r="L6" s="4" t="s">
        <v>48</v>
      </c>
      <c r="M6" s="5">
        <v>2067</v>
      </c>
      <c r="N6" s="6">
        <v>3</v>
      </c>
      <c r="O6" s="7">
        <v>0.15</v>
      </c>
      <c r="P6" s="5">
        <v>224</v>
      </c>
    </row>
    <row r="7" spans="1:16" ht="16.5" x14ac:dyDescent="0.3">
      <c r="A7" s="8" t="s">
        <v>49</v>
      </c>
      <c r="B7" s="8" t="s">
        <v>50</v>
      </c>
      <c r="C7" s="9" t="s">
        <v>42</v>
      </c>
      <c r="D7" s="9" t="s">
        <v>51</v>
      </c>
      <c r="E7" s="9" t="s">
        <v>21</v>
      </c>
      <c r="F7" s="8" t="s">
        <v>22</v>
      </c>
      <c r="G7" s="9" t="s">
        <v>52</v>
      </c>
      <c r="H7" s="9" t="s">
        <v>35</v>
      </c>
      <c r="I7" s="8" t="s">
        <v>53</v>
      </c>
      <c r="J7" s="9" t="s">
        <v>54</v>
      </c>
      <c r="K7" s="9" t="s">
        <v>47</v>
      </c>
      <c r="L7" s="9" t="s">
        <v>55</v>
      </c>
      <c r="M7" s="10">
        <v>1383</v>
      </c>
      <c r="N7" s="11">
        <v>7</v>
      </c>
      <c r="O7" s="13">
        <v>0.3</v>
      </c>
      <c r="P7" s="14">
        <v>-277</v>
      </c>
    </row>
    <row r="8" spans="1:16" x14ac:dyDescent="0.25">
      <c r="A8" s="3" t="s">
        <v>56</v>
      </c>
      <c r="B8" s="3" t="s">
        <v>57</v>
      </c>
      <c r="C8" s="4" t="s">
        <v>42</v>
      </c>
      <c r="D8" s="4" t="s">
        <v>58</v>
      </c>
      <c r="E8" s="4" t="s">
        <v>21</v>
      </c>
      <c r="F8" s="3" t="s">
        <v>22</v>
      </c>
      <c r="G8" s="4" t="s">
        <v>23</v>
      </c>
      <c r="H8" s="4" t="s">
        <v>59</v>
      </c>
      <c r="I8" s="3" t="s">
        <v>36</v>
      </c>
      <c r="J8" s="4" t="s">
        <v>60</v>
      </c>
      <c r="K8" s="4" t="s">
        <v>38</v>
      </c>
      <c r="L8" s="4" t="s">
        <v>61</v>
      </c>
      <c r="M8" s="5">
        <v>1041</v>
      </c>
      <c r="N8" s="6">
        <v>4</v>
      </c>
      <c r="O8" s="7">
        <v>0.2</v>
      </c>
      <c r="P8" s="5">
        <v>160</v>
      </c>
    </row>
    <row r="9" spans="1:16" ht="16.5" x14ac:dyDescent="0.3">
      <c r="A9" s="8" t="s">
        <v>62</v>
      </c>
      <c r="B9" s="8" t="s">
        <v>63</v>
      </c>
      <c r="C9" s="9" t="s">
        <v>64</v>
      </c>
      <c r="D9" s="9" t="s">
        <v>65</v>
      </c>
      <c r="E9" s="9" t="s">
        <v>21</v>
      </c>
      <c r="F9" s="8" t="s">
        <v>22</v>
      </c>
      <c r="G9" s="9" t="s">
        <v>66</v>
      </c>
      <c r="H9" s="9" t="s">
        <v>35</v>
      </c>
      <c r="I9" s="8" t="s">
        <v>36</v>
      </c>
      <c r="J9" s="9" t="s">
        <v>67</v>
      </c>
      <c r="K9" s="9" t="s">
        <v>38</v>
      </c>
      <c r="L9" s="9" t="s">
        <v>39</v>
      </c>
      <c r="M9" s="10">
        <v>1015</v>
      </c>
      <c r="N9" s="11">
        <v>8</v>
      </c>
      <c r="O9" s="13">
        <v>0.5</v>
      </c>
      <c r="P9" s="14">
        <v>-466</v>
      </c>
    </row>
    <row r="10" spans="1:16" ht="16.5" x14ac:dyDescent="0.3">
      <c r="A10" s="3" t="s">
        <v>68</v>
      </c>
      <c r="B10" s="3" t="s">
        <v>69</v>
      </c>
      <c r="C10" s="4" t="s">
        <v>64</v>
      </c>
      <c r="D10" s="4" t="s">
        <v>70</v>
      </c>
      <c r="E10" s="4" t="s">
        <v>33</v>
      </c>
      <c r="F10" s="3" t="s">
        <v>22</v>
      </c>
      <c r="G10" s="4" t="s">
        <v>52</v>
      </c>
      <c r="H10" s="4" t="s">
        <v>59</v>
      </c>
      <c r="I10" s="3" t="s">
        <v>53</v>
      </c>
      <c r="J10" s="4" t="s">
        <v>71</v>
      </c>
      <c r="K10" s="4" t="s">
        <v>47</v>
      </c>
      <c r="L10" s="4" t="s">
        <v>72</v>
      </c>
      <c r="M10" s="5">
        <v>357</v>
      </c>
      <c r="N10" s="6">
        <v>8</v>
      </c>
      <c r="O10" s="13">
        <v>0.3</v>
      </c>
      <c r="P10" s="14">
        <v>-94</v>
      </c>
    </row>
    <row r="11" spans="1:16" ht="16.5" x14ac:dyDescent="0.3">
      <c r="A11" s="8" t="s">
        <v>73</v>
      </c>
      <c r="B11" s="8" t="s">
        <v>74</v>
      </c>
      <c r="C11" s="9" t="s">
        <v>64</v>
      </c>
      <c r="D11" s="9" t="s">
        <v>75</v>
      </c>
      <c r="E11" s="9" t="s">
        <v>21</v>
      </c>
      <c r="F11" s="8" t="s">
        <v>22</v>
      </c>
      <c r="G11" s="9" t="s">
        <v>52</v>
      </c>
      <c r="H11" s="9" t="s">
        <v>45</v>
      </c>
      <c r="I11" s="8" t="s">
        <v>36</v>
      </c>
      <c r="J11" s="9" t="s">
        <v>76</v>
      </c>
      <c r="K11" s="9" t="s">
        <v>47</v>
      </c>
      <c r="L11" s="9" t="s">
        <v>77</v>
      </c>
      <c r="M11" s="10">
        <v>2082</v>
      </c>
      <c r="N11" s="11">
        <v>9</v>
      </c>
      <c r="O11" s="13">
        <v>0.3</v>
      </c>
      <c r="P11" s="14">
        <v>-384</v>
      </c>
    </row>
    <row r="12" spans="1:16" x14ac:dyDescent="0.25">
      <c r="A12" s="3" t="s">
        <v>78</v>
      </c>
      <c r="B12" s="3" t="s">
        <v>79</v>
      </c>
      <c r="C12" s="4" t="s">
        <v>19</v>
      </c>
      <c r="D12" s="4" t="s">
        <v>80</v>
      </c>
      <c r="E12" s="4" t="s">
        <v>21</v>
      </c>
      <c r="F12" s="3" t="s">
        <v>22</v>
      </c>
      <c r="G12" s="4" t="s">
        <v>81</v>
      </c>
      <c r="H12" s="4" t="s">
        <v>45</v>
      </c>
      <c r="I12" s="3" t="s">
        <v>36</v>
      </c>
      <c r="J12" s="4" t="s">
        <v>82</v>
      </c>
      <c r="K12" s="4" t="s">
        <v>27</v>
      </c>
      <c r="L12" s="4" t="s">
        <v>83</v>
      </c>
      <c r="M12" s="5">
        <v>411</v>
      </c>
      <c r="N12" s="6">
        <v>1</v>
      </c>
      <c r="O12" s="7">
        <v>0.15</v>
      </c>
      <c r="P12" s="5">
        <v>80</v>
      </c>
    </row>
    <row r="13" spans="1:16" x14ac:dyDescent="0.25">
      <c r="A13" s="8" t="s">
        <v>84</v>
      </c>
      <c r="B13" s="8" t="s">
        <v>85</v>
      </c>
      <c r="C13" s="9" t="s">
        <v>19</v>
      </c>
      <c r="D13" s="9" t="s">
        <v>86</v>
      </c>
      <c r="E13" s="9" t="s">
        <v>21</v>
      </c>
      <c r="F13" s="8" t="s">
        <v>22</v>
      </c>
      <c r="G13" s="9" t="s">
        <v>66</v>
      </c>
      <c r="H13" s="9" t="s">
        <v>35</v>
      </c>
      <c r="I13" s="8" t="s">
        <v>25</v>
      </c>
      <c r="J13" s="9" t="s">
        <v>87</v>
      </c>
      <c r="K13" s="9" t="s">
        <v>27</v>
      </c>
      <c r="L13" s="9" t="s">
        <v>88</v>
      </c>
      <c r="M13" s="10">
        <v>522</v>
      </c>
      <c r="N13" s="11">
        <v>8</v>
      </c>
      <c r="O13" s="12">
        <v>0.2</v>
      </c>
      <c r="P13" s="10">
        <v>58</v>
      </c>
    </row>
    <row r="14" spans="1:16" ht="16.5" x14ac:dyDescent="0.3">
      <c r="A14" s="3" t="s">
        <v>89</v>
      </c>
      <c r="B14" s="3" t="s">
        <v>90</v>
      </c>
      <c r="C14" s="4" t="s">
        <v>31</v>
      </c>
      <c r="D14" s="4" t="s">
        <v>91</v>
      </c>
      <c r="E14" s="4" t="s">
        <v>33</v>
      </c>
      <c r="F14" s="3" t="s">
        <v>22</v>
      </c>
      <c r="G14" s="4" t="s">
        <v>52</v>
      </c>
      <c r="H14" s="4" t="s">
        <v>92</v>
      </c>
      <c r="I14" s="3" t="s">
        <v>93</v>
      </c>
      <c r="J14" s="4" t="s">
        <v>94</v>
      </c>
      <c r="K14" s="4" t="s">
        <v>47</v>
      </c>
      <c r="L14" s="4" t="s">
        <v>48</v>
      </c>
      <c r="M14" s="5">
        <v>1505</v>
      </c>
      <c r="N14" s="6">
        <v>5</v>
      </c>
      <c r="O14" s="13">
        <v>0.3</v>
      </c>
      <c r="P14" s="14">
        <v>-494</v>
      </c>
    </row>
    <row r="15" spans="1:16" x14ac:dyDescent="0.25">
      <c r="A15" s="8" t="s">
        <v>95</v>
      </c>
      <c r="B15" s="8" t="s">
        <v>96</v>
      </c>
      <c r="C15" s="9" t="s">
        <v>64</v>
      </c>
      <c r="D15" s="9" t="s">
        <v>97</v>
      </c>
      <c r="E15" s="9" t="s">
        <v>33</v>
      </c>
      <c r="F15" s="8" t="s">
        <v>22</v>
      </c>
      <c r="G15" s="9" t="s">
        <v>23</v>
      </c>
      <c r="H15" s="9" t="s">
        <v>59</v>
      </c>
      <c r="I15" s="8" t="s">
        <v>93</v>
      </c>
      <c r="J15" s="9" t="s">
        <v>98</v>
      </c>
      <c r="K15" s="9" t="s">
        <v>27</v>
      </c>
      <c r="L15" s="9" t="s">
        <v>28</v>
      </c>
      <c r="M15" s="10">
        <v>1504</v>
      </c>
      <c r="N15" s="11">
        <v>7</v>
      </c>
      <c r="O15" s="12">
        <v>0.1</v>
      </c>
      <c r="P15" s="10">
        <v>135</v>
      </c>
    </row>
    <row r="16" spans="1:16" ht="16.5" x14ac:dyDescent="0.3">
      <c r="A16" s="3" t="s">
        <v>99</v>
      </c>
      <c r="B16" s="3" t="s">
        <v>100</v>
      </c>
      <c r="C16" s="4" t="s">
        <v>31</v>
      </c>
      <c r="D16" s="4" t="s">
        <v>101</v>
      </c>
      <c r="E16" s="4" t="s">
        <v>21</v>
      </c>
      <c r="F16" s="3" t="s">
        <v>22</v>
      </c>
      <c r="G16" s="4" t="s">
        <v>52</v>
      </c>
      <c r="H16" s="4" t="s">
        <v>24</v>
      </c>
      <c r="I16" s="3" t="s">
        <v>93</v>
      </c>
      <c r="J16" s="4" t="s">
        <v>102</v>
      </c>
      <c r="K16" s="4" t="s">
        <v>27</v>
      </c>
      <c r="L16" s="4" t="s">
        <v>103</v>
      </c>
      <c r="M16" s="5">
        <v>560</v>
      </c>
      <c r="N16" s="6">
        <v>7</v>
      </c>
      <c r="O16" s="13">
        <v>0.7</v>
      </c>
      <c r="P16" s="14">
        <v>-258</v>
      </c>
    </row>
    <row r="17" spans="1:16" x14ac:dyDescent="0.25">
      <c r="A17" s="8" t="s">
        <v>104</v>
      </c>
      <c r="B17" s="8" t="s">
        <v>105</v>
      </c>
      <c r="C17" s="9" t="s">
        <v>19</v>
      </c>
      <c r="D17" s="9" t="s">
        <v>106</v>
      </c>
      <c r="E17" s="9" t="s">
        <v>33</v>
      </c>
      <c r="F17" s="8" t="s">
        <v>22</v>
      </c>
      <c r="G17" s="9" t="s">
        <v>52</v>
      </c>
      <c r="H17" s="9" t="s">
        <v>35</v>
      </c>
      <c r="I17" s="8" t="s">
        <v>53</v>
      </c>
      <c r="J17" s="9" t="s">
        <v>107</v>
      </c>
      <c r="K17" s="9" t="s">
        <v>47</v>
      </c>
      <c r="L17" s="9" t="s">
        <v>55</v>
      </c>
      <c r="M17" s="10">
        <v>815</v>
      </c>
      <c r="N17" s="11">
        <v>4</v>
      </c>
      <c r="O17" s="12">
        <v>0</v>
      </c>
      <c r="P17" s="10">
        <v>171</v>
      </c>
    </row>
    <row r="18" spans="1:16" ht="16.5" x14ac:dyDescent="0.3">
      <c r="A18" s="3" t="s">
        <v>108</v>
      </c>
      <c r="B18" s="3" t="s">
        <v>109</v>
      </c>
      <c r="C18" s="4" t="s">
        <v>64</v>
      </c>
      <c r="D18" s="4" t="s">
        <v>110</v>
      </c>
      <c r="E18" s="4" t="s">
        <v>44</v>
      </c>
      <c r="F18" s="3" t="s">
        <v>22</v>
      </c>
      <c r="G18" s="4" t="s">
        <v>23</v>
      </c>
      <c r="H18" s="4" t="s">
        <v>35</v>
      </c>
      <c r="I18" s="3" t="s">
        <v>93</v>
      </c>
      <c r="J18" s="4" t="s">
        <v>111</v>
      </c>
      <c r="K18" s="4" t="s">
        <v>47</v>
      </c>
      <c r="L18" s="4" t="s">
        <v>48</v>
      </c>
      <c r="M18" s="5">
        <v>1428</v>
      </c>
      <c r="N18" s="6">
        <v>9</v>
      </c>
      <c r="O18" s="13">
        <v>0.5</v>
      </c>
      <c r="P18" s="14">
        <v>-470</v>
      </c>
    </row>
    <row r="19" spans="1:16" x14ac:dyDescent="0.25">
      <c r="A19" s="8" t="s">
        <v>112</v>
      </c>
      <c r="B19" s="8" t="s">
        <v>113</v>
      </c>
      <c r="C19" s="9" t="s">
        <v>42</v>
      </c>
      <c r="D19" s="9" t="s">
        <v>114</v>
      </c>
      <c r="E19" s="9" t="s">
        <v>21</v>
      </c>
      <c r="F19" s="8" t="s">
        <v>22</v>
      </c>
      <c r="G19" s="9" t="s">
        <v>81</v>
      </c>
      <c r="H19" s="9" t="s">
        <v>92</v>
      </c>
      <c r="I19" s="8" t="s">
        <v>93</v>
      </c>
      <c r="J19" s="9" t="s">
        <v>115</v>
      </c>
      <c r="K19" s="9" t="s">
        <v>38</v>
      </c>
      <c r="L19" s="9" t="s">
        <v>61</v>
      </c>
      <c r="M19" s="10">
        <v>668</v>
      </c>
      <c r="N19" s="11">
        <v>1</v>
      </c>
      <c r="O19" s="12">
        <v>0.15</v>
      </c>
      <c r="P19" s="10">
        <v>98</v>
      </c>
    </row>
    <row r="20" spans="1:16" x14ac:dyDescent="0.25">
      <c r="A20" s="3" t="s">
        <v>116</v>
      </c>
      <c r="B20" s="3" t="s">
        <v>117</v>
      </c>
      <c r="C20" s="4" t="s">
        <v>42</v>
      </c>
      <c r="D20" s="4" t="s">
        <v>118</v>
      </c>
      <c r="E20" s="4" t="s">
        <v>44</v>
      </c>
      <c r="F20" s="3" t="s">
        <v>22</v>
      </c>
      <c r="G20" s="4" t="s">
        <v>66</v>
      </c>
      <c r="H20" s="4" t="s">
        <v>92</v>
      </c>
      <c r="I20" s="3" t="s">
        <v>25</v>
      </c>
      <c r="J20" s="4" t="s">
        <v>119</v>
      </c>
      <c r="K20" s="4" t="s">
        <v>47</v>
      </c>
      <c r="L20" s="4" t="s">
        <v>77</v>
      </c>
      <c r="M20" s="5">
        <v>718</v>
      </c>
      <c r="N20" s="6">
        <v>2</v>
      </c>
      <c r="O20" s="7">
        <v>0</v>
      </c>
      <c r="P20" s="5">
        <v>123</v>
      </c>
    </row>
    <row r="21" spans="1:16" ht="16.5" x14ac:dyDescent="0.3">
      <c r="A21" s="8" t="s">
        <v>120</v>
      </c>
      <c r="B21" s="8" t="s">
        <v>121</v>
      </c>
      <c r="C21" s="9" t="s">
        <v>42</v>
      </c>
      <c r="D21" s="9" t="s">
        <v>122</v>
      </c>
      <c r="E21" s="9" t="s">
        <v>44</v>
      </c>
      <c r="F21" s="8" t="s">
        <v>22</v>
      </c>
      <c r="G21" s="9" t="s">
        <v>34</v>
      </c>
      <c r="H21" s="9" t="s">
        <v>59</v>
      </c>
      <c r="I21" s="8" t="s">
        <v>25</v>
      </c>
      <c r="J21" s="9" t="s">
        <v>123</v>
      </c>
      <c r="K21" s="9" t="s">
        <v>27</v>
      </c>
      <c r="L21" s="9" t="s">
        <v>28</v>
      </c>
      <c r="M21" s="10">
        <v>1727</v>
      </c>
      <c r="N21" s="11">
        <v>6</v>
      </c>
      <c r="O21" s="13">
        <v>0.3</v>
      </c>
      <c r="P21" s="14">
        <v>-421</v>
      </c>
    </row>
    <row r="22" spans="1:16" ht="16.5" x14ac:dyDescent="0.3">
      <c r="A22" s="3" t="s">
        <v>124</v>
      </c>
      <c r="B22" s="3" t="s">
        <v>125</v>
      </c>
      <c r="C22" s="4" t="s">
        <v>42</v>
      </c>
      <c r="D22" s="4" t="s">
        <v>126</v>
      </c>
      <c r="E22" s="4" t="s">
        <v>33</v>
      </c>
      <c r="F22" s="3" t="s">
        <v>22</v>
      </c>
      <c r="G22" s="4" t="s">
        <v>52</v>
      </c>
      <c r="H22" s="4" t="s">
        <v>92</v>
      </c>
      <c r="I22" s="3" t="s">
        <v>36</v>
      </c>
      <c r="J22" s="4" t="s">
        <v>127</v>
      </c>
      <c r="K22" s="4" t="s">
        <v>27</v>
      </c>
      <c r="L22" s="4" t="s">
        <v>88</v>
      </c>
      <c r="M22" s="5">
        <v>313</v>
      </c>
      <c r="N22" s="6">
        <v>4</v>
      </c>
      <c r="O22" s="13">
        <v>0.7</v>
      </c>
      <c r="P22" s="14">
        <v>-165</v>
      </c>
    </row>
    <row r="23" spans="1:16" x14ac:dyDescent="0.25">
      <c r="A23" s="8" t="s">
        <v>128</v>
      </c>
      <c r="B23" s="8" t="s">
        <v>129</v>
      </c>
      <c r="C23" s="9" t="s">
        <v>64</v>
      </c>
      <c r="D23" s="9" t="s">
        <v>130</v>
      </c>
      <c r="E23" s="9" t="s">
        <v>44</v>
      </c>
      <c r="F23" s="8" t="s">
        <v>22</v>
      </c>
      <c r="G23" s="9" t="s">
        <v>23</v>
      </c>
      <c r="H23" s="9" t="s">
        <v>59</v>
      </c>
      <c r="I23" s="8" t="s">
        <v>25</v>
      </c>
      <c r="J23" s="9" t="s">
        <v>131</v>
      </c>
      <c r="K23" s="9" t="s">
        <v>27</v>
      </c>
      <c r="L23" s="9" t="s">
        <v>103</v>
      </c>
      <c r="M23" s="10">
        <v>679</v>
      </c>
      <c r="N23" s="11">
        <v>4</v>
      </c>
      <c r="O23" s="12">
        <v>0.15</v>
      </c>
      <c r="P23" s="10">
        <v>78</v>
      </c>
    </row>
    <row r="24" spans="1:16" x14ac:dyDescent="0.25">
      <c r="A24" s="3" t="s">
        <v>132</v>
      </c>
      <c r="B24" s="3" t="s">
        <v>133</v>
      </c>
      <c r="C24" s="4" t="s">
        <v>19</v>
      </c>
      <c r="D24" s="4" t="s">
        <v>134</v>
      </c>
      <c r="E24" s="4" t="s">
        <v>44</v>
      </c>
      <c r="F24" s="3" t="s">
        <v>22</v>
      </c>
      <c r="G24" s="4" t="s">
        <v>23</v>
      </c>
      <c r="H24" s="4" t="s">
        <v>92</v>
      </c>
      <c r="I24" s="3" t="s">
        <v>36</v>
      </c>
      <c r="J24" s="4" t="s">
        <v>135</v>
      </c>
      <c r="K24" s="4" t="s">
        <v>27</v>
      </c>
      <c r="L24" s="4" t="s">
        <v>136</v>
      </c>
      <c r="M24" s="5">
        <v>1979</v>
      </c>
      <c r="N24" s="6">
        <v>2</v>
      </c>
      <c r="O24" s="7">
        <v>0</v>
      </c>
      <c r="P24" s="5">
        <v>252</v>
      </c>
    </row>
    <row r="25" spans="1:16" ht="16.5" x14ac:dyDescent="0.3">
      <c r="A25" s="8" t="s">
        <v>137</v>
      </c>
      <c r="B25" s="8" t="s">
        <v>138</v>
      </c>
      <c r="C25" s="9" t="s">
        <v>42</v>
      </c>
      <c r="D25" s="9" t="s">
        <v>139</v>
      </c>
      <c r="E25" s="9" t="s">
        <v>21</v>
      </c>
      <c r="F25" s="8" t="s">
        <v>22</v>
      </c>
      <c r="G25" s="9" t="s">
        <v>23</v>
      </c>
      <c r="H25" s="9" t="s">
        <v>45</v>
      </c>
      <c r="I25" s="8" t="s">
        <v>25</v>
      </c>
      <c r="J25" s="9" t="s">
        <v>140</v>
      </c>
      <c r="K25" s="9" t="s">
        <v>47</v>
      </c>
      <c r="L25" s="9" t="s">
        <v>55</v>
      </c>
      <c r="M25" s="10">
        <v>1458</v>
      </c>
      <c r="N25" s="11">
        <v>3</v>
      </c>
      <c r="O25" s="13">
        <v>0.7</v>
      </c>
      <c r="P25" s="14">
        <v>-1137</v>
      </c>
    </row>
    <row r="26" spans="1:16" x14ac:dyDescent="0.25">
      <c r="A26" s="3" t="s">
        <v>141</v>
      </c>
      <c r="B26" s="3" t="s">
        <v>142</v>
      </c>
      <c r="C26" s="4" t="s">
        <v>19</v>
      </c>
      <c r="D26" s="4" t="s">
        <v>143</v>
      </c>
      <c r="E26" s="4" t="s">
        <v>44</v>
      </c>
      <c r="F26" s="3" t="s">
        <v>22</v>
      </c>
      <c r="G26" s="4" t="s">
        <v>81</v>
      </c>
      <c r="H26" s="4" t="s">
        <v>45</v>
      </c>
      <c r="I26" s="3" t="s">
        <v>36</v>
      </c>
      <c r="J26" s="4" t="s">
        <v>144</v>
      </c>
      <c r="K26" s="4" t="s">
        <v>47</v>
      </c>
      <c r="L26" s="4" t="s">
        <v>55</v>
      </c>
      <c r="M26" s="5">
        <v>1347</v>
      </c>
      <c r="N26" s="6">
        <v>5</v>
      </c>
      <c r="O26" s="7">
        <v>0</v>
      </c>
      <c r="P26" s="5">
        <v>327</v>
      </c>
    </row>
    <row r="27" spans="1:16" x14ac:dyDescent="0.25">
      <c r="A27" s="8" t="s">
        <v>145</v>
      </c>
      <c r="B27" s="8" t="s">
        <v>146</v>
      </c>
      <c r="C27" s="9" t="s">
        <v>31</v>
      </c>
      <c r="D27" s="9" t="s">
        <v>147</v>
      </c>
      <c r="E27" s="9" t="s">
        <v>33</v>
      </c>
      <c r="F27" s="8" t="s">
        <v>22</v>
      </c>
      <c r="G27" s="9" t="s">
        <v>81</v>
      </c>
      <c r="H27" s="9" t="s">
        <v>59</v>
      </c>
      <c r="I27" s="8" t="s">
        <v>93</v>
      </c>
      <c r="J27" s="9" t="s">
        <v>148</v>
      </c>
      <c r="K27" s="9" t="s">
        <v>27</v>
      </c>
      <c r="L27" s="9" t="s">
        <v>83</v>
      </c>
      <c r="M27" s="10">
        <v>2219</v>
      </c>
      <c r="N27" s="11">
        <v>1</v>
      </c>
      <c r="O27" s="12">
        <v>0.2</v>
      </c>
      <c r="P27" s="10">
        <v>290</v>
      </c>
    </row>
    <row r="28" spans="1:16" ht="16.5" x14ac:dyDescent="0.3">
      <c r="A28" s="3" t="s">
        <v>149</v>
      </c>
      <c r="B28" s="3" t="s">
        <v>150</v>
      </c>
      <c r="C28" s="4" t="s">
        <v>42</v>
      </c>
      <c r="D28" s="4" t="s">
        <v>151</v>
      </c>
      <c r="E28" s="4" t="s">
        <v>33</v>
      </c>
      <c r="F28" s="3" t="s">
        <v>22</v>
      </c>
      <c r="G28" s="4" t="s">
        <v>81</v>
      </c>
      <c r="H28" s="4" t="s">
        <v>45</v>
      </c>
      <c r="I28" s="3" t="s">
        <v>53</v>
      </c>
      <c r="J28" s="4" t="s">
        <v>152</v>
      </c>
      <c r="K28" s="4" t="s">
        <v>38</v>
      </c>
      <c r="L28" s="4" t="s">
        <v>153</v>
      </c>
      <c r="M28" s="5">
        <v>1516</v>
      </c>
      <c r="N28" s="6">
        <v>2</v>
      </c>
      <c r="O28" s="13">
        <v>0.5</v>
      </c>
      <c r="P28" s="14">
        <v>-731</v>
      </c>
    </row>
    <row r="29" spans="1:16" x14ac:dyDescent="0.25">
      <c r="A29" s="8" t="s">
        <v>154</v>
      </c>
      <c r="B29" s="8" t="s">
        <v>155</v>
      </c>
      <c r="C29" s="9" t="s">
        <v>42</v>
      </c>
      <c r="D29" s="9" t="s">
        <v>156</v>
      </c>
      <c r="E29" s="9" t="s">
        <v>44</v>
      </c>
      <c r="F29" s="8" t="s">
        <v>22</v>
      </c>
      <c r="G29" s="9" t="s">
        <v>66</v>
      </c>
      <c r="H29" s="9" t="s">
        <v>35</v>
      </c>
      <c r="I29" s="8" t="s">
        <v>53</v>
      </c>
      <c r="J29" s="9" t="s">
        <v>157</v>
      </c>
      <c r="K29" s="9" t="s">
        <v>27</v>
      </c>
      <c r="L29" s="9" t="s">
        <v>103</v>
      </c>
      <c r="M29" s="10">
        <v>180</v>
      </c>
      <c r="N29" s="11">
        <v>5</v>
      </c>
      <c r="O29" s="12">
        <v>0</v>
      </c>
      <c r="P29" s="10">
        <v>9</v>
      </c>
    </row>
    <row r="30" spans="1:16" x14ac:dyDescent="0.25">
      <c r="A30" s="3" t="s">
        <v>158</v>
      </c>
      <c r="B30" s="3" t="s">
        <v>18</v>
      </c>
      <c r="C30" s="4" t="s">
        <v>42</v>
      </c>
      <c r="D30" s="4" t="s">
        <v>159</v>
      </c>
      <c r="E30" s="4" t="s">
        <v>33</v>
      </c>
      <c r="F30" s="3" t="s">
        <v>22</v>
      </c>
      <c r="G30" s="4" t="s">
        <v>23</v>
      </c>
      <c r="H30" s="4" t="s">
        <v>59</v>
      </c>
      <c r="I30" s="3" t="s">
        <v>36</v>
      </c>
      <c r="J30" s="4" t="s">
        <v>160</v>
      </c>
      <c r="K30" s="4" t="s">
        <v>47</v>
      </c>
      <c r="L30" s="4" t="s">
        <v>72</v>
      </c>
      <c r="M30" s="5">
        <v>974</v>
      </c>
      <c r="N30" s="6">
        <v>7</v>
      </c>
      <c r="O30" s="7">
        <v>0.2</v>
      </c>
      <c r="P30" s="5">
        <v>120</v>
      </c>
    </row>
    <row r="31" spans="1:16" x14ac:dyDescent="0.25">
      <c r="A31" s="8" t="s">
        <v>161</v>
      </c>
      <c r="B31" s="8" t="s">
        <v>30</v>
      </c>
      <c r="C31" s="9" t="s">
        <v>64</v>
      </c>
      <c r="D31" s="9" t="s">
        <v>162</v>
      </c>
      <c r="E31" s="9" t="s">
        <v>44</v>
      </c>
      <c r="F31" s="8" t="s">
        <v>22</v>
      </c>
      <c r="G31" s="9" t="s">
        <v>34</v>
      </c>
      <c r="H31" s="9" t="s">
        <v>92</v>
      </c>
      <c r="I31" s="8" t="s">
        <v>53</v>
      </c>
      <c r="J31" s="9" t="s">
        <v>163</v>
      </c>
      <c r="K31" s="9" t="s">
        <v>27</v>
      </c>
      <c r="L31" s="9" t="s">
        <v>83</v>
      </c>
      <c r="M31" s="10">
        <v>817</v>
      </c>
      <c r="N31" s="11">
        <v>1</v>
      </c>
      <c r="O31" s="12">
        <v>0.1</v>
      </c>
      <c r="P31" s="10">
        <v>146</v>
      </c>
    </row>
    <row r="32" spans="1:16" x14ac:dyDescent="0.25">
      <c r="A32" s="3" t="s">
        <v>164</v>
      </c>
      <c r="B32" s="3" t="s">
        <v>41</v>
      </c>
      <c r="C32" s="4" t="s">
        <v>31</v>
      </c>
      <c r="D32" s="4" t="s">
        <v>165</v>
      </c>
      <c r="E32" s="4" t="s">
        <v>21</v>
      </c>
      <c r="F32" s="3" t="s">
        <v>22</v>
      </c>
      <c r="G32" s="4" t="s">
        <v>23</v>
      </c>
      <c r="H32" s="4" t="s">
        <v>45</v>
      </c>
      <c r="I32" s="3" t="s">
        <v>93</v>
      </c>
      <c r="J32" s="4" t="s">
        <v>166</v>
      </c>
      <c r="K32" s="4" t="s">
        <v>47</v>
      </c>
      <c r="L32" s="4" t="s">
        <v>72</v>
      </c>
      <c r="M32" s="5">
        <v>1263</v>
      </c>
      <c r="N32" s="6">
        <v>5</v>
      </c>
      <c r="O32" s="7">
        <v>0</v>
      </c>
      <c r="P32" s="5">
        <v>181</v>
      </c>
    </row>
    <row r="33" spans="1:16" ht="16.5" x14ac:dyDescent="0.3">
      <c r="A33" s="8" t="s">
        <v>167</v>
      </c>
      <c r="B33" s="8" t="s">
        <v>168</v>
      </c>
      <c r="C33" s="9" t="s">
        <v>64</v>
      </c>
      <c r="D33" s="9" t="s">
        <v>169</v>
      </c>
      <c r="E33" s="9" t="s">
        <v>33</v>
      </c>
      <c r="F33" s="8" t="s">
        <v>22</v>
      </c>
      <c r="G33" s="9" t="s">
        <v>52</v>
      </c>
      <c r="H33" s="9" t="s">
        <v>59</v>
      </c>
      <c r="I33" s="8" t="s">
        <v>25</v>
      </c>
      <c r="J33" s="9" t="s">
        <v>170</v>
      </c>
      <c r="K33" s="9" t="s">
        <v>47</v>
      </c>
      <c r="L33" s="9" t="s">
        <v>77</v>
      </c>
      <c r="M33" s="10">
        <v>200</v>
      </c>
      <c r="N33" s="11">
        <v>1</v>
      </c>
      <c r="O33" s="13">
        <v>0.5</v>
      </c>
      <c r="P33" s="14">
        <v>-90</v>
      </c>
    </row>
    <row r="34" spans="1:16" x14ac:dyDescent="0.25">
      <c r="A34" s="3" t="s">
        <v>171</v>
      </c>
      <c r="B34" s="3" t="s">
        <v>50</v>
      </c>
      <c r="C34" s="4" t="s">
        <v>42</v>
      </c>
      <c r="D34" s="4" t="s">
        <v>172</v>
      </c>
      <c r="E34" s="4" t="s">
        <v>33</v>
      </c>
      <c r="F34" s="3" t="s">
        <v>22</v>
      </c>
      <c r="G34" s="4" t="s">
        <v>34</v>
      </c>
      <c r="H34" s="4" t="s">
        <v>24</v>
      </c>
      <c r="I34" s="3" t="s">
        <v>36</v>
      </c>
      <c r="J34" s="4" t="s">
        <v>173</v>
      </c>
      <c r="K34" s="4" t="s">
        <v>27</v>
      </c>
      <c r="L34" s="4" t="s">
        <v>88</v>
      </c>
      <c r="M34" s="5">
        <v>147</v>
      </c>
      <c r="N34" s="6">
        <v>6</v>
      </c>
      <c r="O34" s="7">
        <v>0.15</v>
      </c>
      <c r="P34" s="5">
        <v>18</v>
      </c>
    </row>
    <row r="35" spans="1:16" x14ac:dyDescent="0.25">
      <c r="A35" s="8" t="s">
        <v>174</v>
      </c>
      <c r="B35" s="8" t="s">
        <v>57</v>
      </c>
      <c r="C35" s="9" t="s">
        <v>64</v>
      </c>
      <c r="D35" s="9" t="s">
        <v>175</v>
      </c>
      <c r="E35" s="9" t="s">
        <v>33</v>
      </c>
      <c r="F35" s="8" t="s">
        <v>22</v>
      </c>
      <c r="G35" s="9" t="s">
        <v>66</v>
      </c>
      <c r="H35" s="9" t="s">
        <v>35</v>
      </c>
      <c r="I35" s="8" t="s">
        <v>93</v>
      </c>
      <c r="J35" s="9" t="s">
        <v>176</v>
      </c>
      <c r="K35" s="9" t="s">
        <v>27</v>
      </c>
      <c r="L35" s="9" t="s">
        <v>28</v>
      </c>
      <c r="M35" s="10">
        <v>804</v>
      </c>
      <c r="N35" s="11">
        <v>9</v>
      </c>
      <c r="O35" s="12">
        <v>0.1</v>
      </c>
      <c r="P35" s="10">
        <v>176</v>
      </c>
    </row>
    <row r="36" spans="1:16" x14ac:dyDescent="0.25">
      <c r="A36" s="3" t="s">
        <v>177</v>
      </c>
      <c r="B36" s="3" t="s">
        <v>63</v>
      </c>
      <c r="C36" s="4" t="s">
        <v>19</v>
      </c>
      <c r="D36" s="4" t="s">
        <v>178</v>
      </c>
      <c r="E36" s="4" t="s">
        <v>44</v>
      </c>
      <c r="F36" s="3" t="s">
        <v>22</v>
      </c>
      <c r="G36" s="4" t="s">
        <v>34</v>
      </c>
      <c r="H36" s="4" t="s">
        <v>35</v>
      </c>
      <c r="I36" s="3" t="s">
        <v>93</v>
      </c>
      <c r="J36" s="4" t="s">
        <v>179</v>
      </c>
      <c r="K36" s="4" t="s">
        <v>38</v>
      </c>
      <c r="L36" s="4" t="s">
        <v>153</v>
      </c>
      <c r="M36" s="5">
        <v>940</v>
      </c>
      <c r="N36" s="6">
        <v>7</v>
      </c>
      <c r="O36" s="7">
        <v>0.1</v>
      </c>
      <c r="P36" s="5">
        <v>161</v>
      </c>
    </row>
    <row r="37" spans="1:16" ht="16.5" x14ac:dyDescent="0.3">
      <c r="A37" s="8" t="s">
        <v>180</v>
      </c>
      <c r="B37" s="8" t="s">
        <v>69</v>
      </c>
      <c r="C37" s="9" t="s">
        <v>31</v>
      </c>
      <c r="D37" s="9" t="s">
        <v>181</v>
      </c>
      <c r="E37" s="9" t="s">
        <v>21</v>
      </c>
      <c r="F37" s="8" t="s">
        <v>22</v>
      </c>
      <c r="G37" s="9" t="s">
        <v>52</v>
      </c>
      <c r="H37" s="9" t="s">
        <v>59</v>
      </c>
      <c r="I37" s="8" t="s">
        <v>36</v>
      </c>
      <c r="J37" s="9" t="s">
        <v>182</v>
      </c>
      <c r="K37" s="9" t="s">
        <v>38</v>
      </c>
      <c r="L37" s="9" t="s">
        <v>61</v>
      </c>
      <c r="M37" s="10">
        <v>991</v>
      </c>
      <c r="N37" s="11">
        <v>2</v>
      </c>
      <c r="O37" s="13">
        <v>0.5</v>
      </c>
      <c r="P37" s="14">
        <v>-555</v>
      </c>
    </row>
    <row r="38" spans="1:16" ht="16.5" x14ac:dyDescent="0.3">
      <c r="A38" s="3" t="s">
        <v>183</v>
      </c>
      <c r="B38" s="3" t="s">
        <v>74</v>
      </c>
      <c r="C38" s="4" t="s">
        <v>64</v>
      </c>
      <c r="D38" s="4" t="s">
        <v>184</v>
      </c>
      <c r="E38" s="4" t="s">
        <v>33</v>
      </c>
      <c r="F38" s="3" t="s">
        <v>22</v>
      </c>
      <c r="G38" s="4" t="s">
        <v>23</v>
      </c>
      <c r="H38" s="4" t="s">
        <v>59</v>
      </c>
      <c r="I38" s="3" t="s">
        <v>53</v>
      </c>
      <c r="J38" s="4" t="s">
        <v>185</v>
      </c>
      <c r="K38" s="4" t="s">
        <v>27</v>
      </c>
      <c r="L38" s="4" t="s">
        <v>103</v>
      </c>
      <c r="M38" s="5">
        <v>2381</v>
      </c>
      <c r="N38" s="6">
        <v>1</v>
      </c>
      <c r="O38" s="13">
        <v>0.5</v>
      </c>
      <c r="P38" s="14">
        <v>-1312</v>
      </c>
    </row>
    <row r="39" spans="1:16" ht="16.5" x14ac:dyDescent="0.3">
      <c r="A39" s="8" t="s">
        <v>186</v>
      </c>
      <c r="B39" s="8" t="s">
        <v>85</v>
      </c>
      <c r="C39" s="9" t="s">
        <v>19</v>
      </c>
      <c r="D39" s="9" t="s">
        <v>187</v>
      </c>
      <c r="E39" s="9" t="s">
        <v>44</v>
      </c>
      <c r="F39" s="8" t="s">
        <v>22</v>
      </c>
      <c r="G39" s="9" t="s">
        <v>34</v>
      </c>
      <c r="H39" s="9" t="s">
        <v>45</v>
      </c>
      <c r="I39" s="8" t="s">
        <v>53</v>
      </c>
      <c r="J39" s="9" t="s">
        <v>188</v>
      </c>
      <c r="K39" s="9" t="s">
        <v>27</v>
      </c>
      <c r="L39" s="9" t="s">
        <v>83</v>
      </c>
      <c r="M39" s="10">
        <v>288</v>
      </c>
      <c r="N39" s="11">
        <v>3</v>
      </c>
      <c r="O39" s="13">
        <v>0.7</v>
      </c>
      <c r="P39" s="14">
        <v>-237</v>
      </c>
    </row>
    <row r="40" spans="1:16" ht="16.5" x14ac:dyDescent="0.3">
      <c r="A40" s="3" t="s">
        <v>189</v>
      </c>
      <c r="B40" s="3" t="s">
        <v>90</v>
      </c>
      <c r="C40" s="4" t="s">
        <v>31</v>
      </c>
      <c r="D40" s="4" t="s">
        <v>190</v>
      </c>
      <c r="E40" s="4" t="s">
        <v>33</v>
      </c>
      <c r="F40" s="3" t="s">
        <v>22</v>
      </c>
      <c r="G40" s="4" t="s">
        <v>23</v>
      </c>
      <c r="H40" s="4" t="s">
        <v>45</v>
      </c>
      <c r="I40" s="3" t="s">
        <v>53</v>
      </c>
      <c r="J40" s="4" t="s">
        <v>191</v>
      </c>
      <c r="K40" s="4" t="s">
        <v>27</v>
      </c>
      <c r="L40" s="4" t="s">
        <v>28</v>
      </c>
      <c r="M40" s="5">
        <v>136</v>
      </c>
      <c r="N40" s="6">
        <v>9</v>
      </c>
      <c r="O40" s="13">
        <v>0.3</v>
      </c>
      <c r="P40" s="14">
        <v>-22</v>
      </c>
    </row>
    <row r="41" spans="1:16" x14ac:dyDescent="0.25">
      <c r="A41" s="8" t="s">
        <v>192</v>
      </c>
      <c r="B41" s="8" t="s">
        <v>96</v>
      </c>
      <c r="C41" s="9" t="s">
        <v>42</v>
      </c>
      <c r="D41" s="9" t="s">
        <v>193</v>
      </c>
      <c r="E41" s="9" t="s">
        <v>21</v>
      </c>
      <c r="F41" s="8" t="s">
        <v>22</v>
      </c>
      <c r="G41" s="9" t="s">
        <v>81</v>
      </c>
      <c r="H41" s="9" t="s">
        <v>35</v>
      </c>
      <c r="I41" s="8" t="s">
        <v>53</v>
      </c>
      <c r="J41" s="9" t="s">
        <v>194</v>
      </c>
      <c r="K41" s="9" t="s">
        <v>47</v>
      </c>
      <c r="L41" s="9" t="s">
        <v>48</v>
      </c>
      <c r="M41" s="10">
        <v>1139</v>
      </c>
      <c r="N41" s="11">
        <v>9</v>
      </c>
      <c r="O41" s="12">
        <v>0.1</v>
      </c>
      <c r="P41" s="10">
        <v>182</v>
      </c>
    </row>
    <row r="42" spans="1:16" ht="16.5" x14ac:dyDescent="0.3">
      <c r="A42" s="3" t="s">
        <v>195</v>
      </c>
      <c r="B42" s="3" t="s">
        <v>100</v>
      </c>
      <c r="C42" s="4" t="s">
        <v>42</v>
      </c>
      <c r="D42" s="4" t="s">
        <v>196</v>
      </c>
      <c r="E42" s="4" t="s">
        <v>21</v>
      </c>
      <c r="F42" s="3" t="s">
        <v>22</v>
      </c>
      <c r="G42" s="4" t="s">
        <v>34</v>
      </c>
      <c r="H42" s="4" t="s">
        <v>59</v>
      </c>
      <c r="I42" s="3" t="s">
        <v>36</v>
      </c>
      <c r="J42" s="4" t="s">
        <v>197</v>
      </c>
      <c r="K42" s="4" t="s">
        <v>47</v>
      </c>
      <c r="L42" s="4" t="s">
        <v>48</v>
      </c>
      <c r="M42" s="5">
        <v>600</v>
      </c>
      <c r="N42" s="6">
        <v>7</v>
      </c>
      <c r="O42" s="13">
        <v>0.7</v>
      </c>
      <c r="P42" s="14">
        <v>-389</v>
      </c>
    </row>
    <row r="43" spans="1:16" ht="16.5" x14ac:dyDescent="0.3">
      <c r="A43" s="8" t="s">
        <v>198</v>
      </c>
      <c r="B43" s="8" t="s">
        <v>105</v>
      </c>
      <c r="C43" s="9" t="s">
        <v>19</v>
      </c>
      <c r="D43" s="9" t="s">
        <v>199</v>
      </c>
      <c r="E43" s="9" t="s">
        <v>44</v>
      </c>
      <c r="F43" s="8" t="s">
        <v>22</v>
      </c>
      <c r="G43" s="9" t="s">
        <v>23</v>
      </c>
      <c r="H43" s="9" t="s">
        <v>24</v>
      </c>
      <c r="I43" s="8" t="s">
        <v>53</v>
      </c>
      <c r="J43" s="9" t="s">
        <v>200</v>
      </c>
      <c r="K43" s="9" t="s">
        <v>47</v>
      </c>
      <c r="L43" s="9" t="s">
        <v>77</v>
      </c>
      <c r="M43" s="10">
        <v>1263</v>
      </c>
      <c r="N43" s="11">
        <v>1</v>
      </c>
      <c r="O43" s="13">
        <v>0.5</v>
      </c>
      <c r="P43" s="14">
        <v>-336</v>
      </c>
    </row>
    <row r="44" spans="1:16" ht="16.5" x14ac:dyDescent="0.3">
      <c r="A44" s="3" t="s">
        <v>201</v>
      </c>
      <c r="B44" s="3" t="s">
        <v>109</v>
      </c>
      <c r="C44" s="4" t="s">
        <v>64</v>
      </c>
      <c r="D44" s="4" t="s">
        <v>202</v>
      </c>
      <c r="E44" s="4" t="s">
        <v>44</v>
      </c>
      <c r="F44" s="3" t="s">
        <v>22</v>
      </c>
      <c r="G44" s="4" t="s">
        <v>52</v>
      </c>
      <c r="H44" s="4" t="s">
        <v>24</v>
      </c>
      <c r="I44" s="3" t="s">
        <v>36</v>
      </c>
      <c r="J44" s="4" t="s">
        <v>203</v>
      </c>
      <c r="K44" s="4" t="s">
        <v>38</v>
      </c>
      <c r="L44" s="4" t="s">
        <v>39</v>
      </c>
      <c r="M44" s="5">
        <v>570</v>
      </c>
      <c r="N44" s="6">
        <v>5</v>
      </c>
      <c r="O44" s="13">
        <v>0.3</v>
      </c>
      <c r="P44" s="14">
        <v>-126</v>
      </c>
    </row>
    <row r="45" spans="1:16" ht="16.5" x14ac:dyDescent="0.3">
      <c r="A45" s="8" t="s">
        <v>204</v>
      </c>
      <c r="B45" s="8" t="s">
        <v>113</v>
      </c>
      <c r="C45" s="9" t="s">
        <v>19</v>
      </c>
      <c r="D45" s="9" t="s">
        <v>205</v>
      </c>
      <c r="E45" s="9" t="s">
        <v>44</v>
      </c>
      <c r="F45" s="8" t="s">
        <v>22</v>
      </c>
      <c r="G45" s="9" t="s">
        <v>66</v>
      </c>
      <c r="H45" s="9" t="s">
        <v>24</v>
      </c>
      <c r="I45" s="8" t="s">
        <v>36</v>
      </c>
      <c r="J45" s="9" t="s">
        <v>206</v>
      </c>
      <c r="K45" s="9" t="s">
        <v>38</v>
      </c>
      <c r="L45" s="9" t="s">
        <v>61</v>
      </c>
      <c r="M45" s="10">
        <v>1651</v>
      </c>
      <c r="N45" s="11">
        <v>5</v>
      </c>
      <c r="O45" s="13">
        <v>0.7</v>
      </c>
      <c r="P45" s="14">
        <v>-1270</v>
      </c>
    </row>
    <row r="46" spans="1:16" x14ac:dyDescent="0.25">
      <c r="A46" s="3" t="s">
        <v>207</v>
      </c>
      <c r="B46" s="3" t="s">
        <v>208</v>
      </c>
      <c r="C46" s="4" t="s">
        <v>31</v>
      </c>
      <c r="D46" s="4" t="s">
        <v>209</v>
      </c>
      <c r="E46" s="4" t="s">
        <v>33</v>
      </c>
      <c r="F46" s="3" t="s">
        <v>22</v>
      </c>
      <c r="G46" s="4" t="s">
        <v>66</v>
      </c>
      <c r="H46" s="4" t="s">
        <v>59</v>
      </c>
      <c r="I46" s="3" t="s">
        <v>36</v>
      </c>
      <c r="J46" s="4" t="s">
        <v>210</v>
      </c>
      <c r="K46" s="4" t="s">
        <v>27</v>
      </c>
      <c r="L46" s="4" t="s">
        <v>136</v>
      </c>
      <c r="M46" s="5">
        <v>2447</v>
      </c>
      <c r="N46" s="6">
        <v>3</v>
      </c>
      <c r="O46" s="7">
        <v>0.2</v>
      </c>
      <c r="P46" s="5">
        <v>185</v>
      </c>
    </row>
    <row r="47" spans="1:16" x14ac:dyDescent="0.25">
      <c r="A47" s="8" t="s">
        <v>211</v>
      </c>
      <c r="B47" s="8" t="s">
        <v>117</v>
      </c>
      <c r="C47" s="9" t="s">
        <v>19</v>
      </c>
      <c r="D47" s="9" t="s">
        <v>212</v>
      </c>
      <c r="E47" s="9" t="s">
        <v>21</v>
      </c>
      <c r="F47" s="8" t="s">
        <v>22</v>
      </c>
      <c r="G47" s="9" t="s">
        <v>52</v>
      </c>
      <c r="H47" s="9" t="s">
        <v>92</v>
      </c>
      <c r="I47" s="8" t="s">
        <v>25</v>
      </c>
      <c r="J47" s="9" t="s">
        <v>213</v>
      </c>
      <c r="K47" s="9" t="s">
        <v>47</v>
      </c>
      <c r="L47" s="9" t="s">
        <v>72</v>
      </c>
      <c r="M47" s="10">
        <v>1086</v>
      </c>
      <c r="N47" s="11">
        <v>2</v>
      </c>
      <c r="O47" s="12">
        <v>0.1</v>
      </c>
      <c r="P47" s="10">
        <v>96</v>
      </c>
    </row>
    <row r="48" spans="1:16" ht="16.5" x14ac:dyDescent="0.3">
      <c r="A48" s="3" t="s">
        <v>214</v>
      </c>
      <c r="B48" s="3" t="s">
        <v>121</v>
      </c>
      <c r="C48" s="4" t="s">
        <v>31</v>
      </c>
      <c r="D48" s="4" t="s">
        <v>215</v>
      </c>
      <c r="E48" s="4" t="s">
        <v>33</v>
      </c>
      <c r="F48" s="3" t="s">
        <v>22</v>
      </c>
      <c r="G48" s="4" t="s">
        <v>66</v>
      </c>
      <c r="H48" s="4" t="s">
        <v>92</v>
      </c>
      <c r="I48" s="3" t="s">
        <v>93</v>
      </c>
      <c r="J48" s="4" t="s">
        <v>216</v>
      </c>
      <c r="K48" s="4" t="s">
        <v>47</v>
      </c>
      <c r="L48" s="4" t="s">
        <v>55</v>
      </c>
      <c r="M48" s="5">
        <v>1645</v>
      </c>
      <c r="N48" s="6">
        <v>3</v>
      </c>
      <c r="O48" s="13">
        <v>0.3</v>
      </c>
      <c r="P48" s="14">
        <v>-364</v>
      </c>
    </row>
    <row r="49" spans="1:16" x14ac:dyDescent="0.25">
      <c r="A49" s="8" t="s">
        <v>217</v>
      </c>
      <c r="B49" s="8" t="s">
        <v>125</v>
      </c>
      <c r="C49" s="9" t="s">
        <v>31</v>
      </c>
      <c r="D49" s="9" t="s">
        <v>218</v>
      </c>
      <c r="E49" s="9" t="s">
        <v>33</v>
      </c>
      <c r="F49" s="8" t="s">
        <v>22</v>
      </c>
      <c r="G49" s="9" t="s">
        <v>52</v>
      </c>
      <c r="H49" s="9" t="s">
        <v>35</v>
      </c>
      <c r="I49" s="8" t="s">
        <v>25</v>
      </c>
      <c r="J49" s="9" t="s">
        <v>219</v>
      </c>
      <c r="K49" s="9" t="s">
        <v>38</v>
      </c>
      <c r="L49" s="9" t="s">
        <v>220</v>
      </c>
      <c r="M49" s="10">
        <v>432</v>
      </c>
      <c r="N49" s="11">
        <v>9</v>
      </c>
      <c r="O49" s="12">
        <v>0.15</v>
      </c>
      <c r="P49" s="10">
        <v>24</v>
      </c>
    </row>
    <row r="50" spans="1:16" x14ac:dyDescent="0.25">
      <c r="A50" s="3" t="s">
        <v>221</v>
      </c>
      <c r="B50" s="3" t="s">
        <v>129</v>
      </c>
      <c r="C50" s="4" t="s">
        <v>31</v>
      </c>
      <c r="D50" s="4" t="s">
        <v>222</v>
      </c>
      <c r="E50" s="4" t="s">
        <v>21</v>
      </c>
      <c r="F50" s="3" t="s">
        <v>22</v>
      </c>
      <c r="G50" s="4" t="s">
        <v>81</v>
      </c>
      <c r="H50" s="4" t="s">
        <v>45</v>
      </c>
      <c r="I50" s="3" t="s">
        <v>53</v>
      </c>
      <c r="J50" s="4" t="s">
        <v>223</v>
      </c>
      <c r="K50" s="4" t="s">
        <v>47</v>
      </c>
      <c r="L50" s="4" t="s">
        <v>77</v>
      </c>
      <c r="M50" s="5">
        <v>1142</v>
      </c>
      <c r="N50" s="6">
        <v>2</v>
      </c>
      <c r="O50" s="7">
        <v>0.15</v>
      </c>
      <c r="P50" s="5">
        <v>151</v>
      </c>
    </row>
    <row r="51" spans="1:16" ht="16.5" x14ac:dyDescent="0.3">
      <c r="A51" s="8" t="s">
        <v>224</v>
      </c>
      <c r="B51" s="8" t="s">
        <v>133</v>
      </c>
      <c r="C51" s="9" t="s">
        <v>31</v>
      </c>
      <c r="D51" s="9" t="s">
        <v>225</v>
      </c>
      <c r="E51" s="9" t="s">
        <v>33</v>
      </c>
      <c r="F51" s="8" t="s">
        <v>22</v>
      </c>
      <c r="G51" s="9" t="s">
        <v>34</v>
      </c>
      <c r="H51" s="9" t="s">
        <v>45</v>
      </c>
      <c r="I51" s="8" t="s">
        <v>25</v>
      </c>
      <c r="J51" s="9" t="s">
        <v>226</v>
      </c>
      <c r="K51" s="9" t="s">
        <v>27</v>
      </c>
      <c r="L51" s="9" t="s">
        <v>103</v>
      </c>
      <c r="M51" s="10">
        <v>2284</v>
      </c>
      <c r="N51" s="11">
        <v>1</v>
      </c>
      <c r="O51" s="13">
        <v>0.7</v>
      </c>
      <c r="P51" s="14">
        <v>-1066</v>
      </c>
    </row>
    <row r="52" spans="1:16" x14ac:dyDescent="0.25">
      <c r="A52" s="3" t="s">
        <v>227</v>
      </c>
      <c r="B52" s="3" t="s">
        <v>138</v>
      </c>
      <c r="C52" s="4" t="s">
        <v>31</v>
      </c>
      <c r="D52" s="4" t="s">
        <v>228</v>
      </c>
      <c r="E52" s="4" t="s">
        <v>44</v>
      </c>
      <c r="F52" s="3" t="s">
        <v>22</v>
      </c>
      <c r="G52" s="4" t="s">
        <v>52</v>
      </c>
      <c r="H52" s="4" t="s">
        <v>59</v>
      </c>
      <c r="I52" s="3" t="s">
        <v>53</v>
      </c>
      <c r="J52" s="4" t="s">
        <v>229</v>
      </c>
      <c r="K52" s="4" t="s">
        <v>47</v>
      </c>
      <c r="L52" s="4" t="s">
        <v>48</v>
      </c>
      <c r="M52" s="5">
        <v>2244</v>
      </c>
      <c r="N52" s="6">
        <v>9</v>
      </c>
      <c r="O52" s="7">
        <v>0.15</v>
      </c>
      <c r="P52" s="5">
        <v>136</v>
      </c>
    </row>
    <row r="53" spans="1:16" ht="16.5" x14ac:dyDescent="0.3">
      <c r="A53" s="8" t="s">
        <v>230</v>
      </c>
      <c r="B53" s="8" t="s">
        <v>142</v>
      </c>
      <c r="C53" s="9" t="s">
        <v>19</v>
      </c>
      <c r="D53" s="9" t="s">
        <v>231</v>
      </c>
      <c r="E53" s="9" t="s">
        <v>21</v>
      </c>
      <c r="F53" s="8" t="s">
        <v>22</v>
      </c>
      <c r="G53" s="9" t="s">
        <v>52</v>
      </c>
      <c r="H53" s="9" t="s">
        <v>45</v>
      </c>
      <c r="I53" s="8" t="s">
        <v>93</v>
      </c>
      <c r="J53" s="9" t="s">
        <v>232</v>
      </c>
      <c r="K53" s="9" t="s">
        <v>38</v>
      </c>
      <c r="L53" s="9" t="s">
        <v>153</v>
      </c>
      <c r="M53" s="10">
        <v>415</v>
      </c>
      <c r="N53" s="11">
        <v>5</v>
      </c>
      <c r="O53" s="13">
        <v>0.3</v>
      </c>
      <c r="P53" s="14">
        <v>-90</v>
      </c>
    </row>
    <row r="54" spans="1:16" ht="16.5" x14ac:dyDescent="0.3">
      <c r="A54" s="3" t="s">
        <v>233</v>
      </c>
      <c r="B54" s="3" t="s">
        <v>146</v>
      </c>
      <c r="C54" s="4" t="s">
        <v>42</v>
      </c>
      <c r="D54" s="4" t="s">
        <v>234</v>
      </c>
      <c r="E54" s="4" t="s">
        <v>21</v>
      </c>
      <c r="F54" s="3" t="s">
        <v>22</v>
      </c>
      <c r="G54" s="4" t="s">
        <v>81</v>
      </c>
      <c r="H54" s="4" t="s">
        <v>24</v>
      </c>
      <c r="I54" s="3" t="s">
        <v>25</v>
      </c>
      <c r="J54" s="4" t="s">
        <v>235</v>
      </c>
      <c r="K54" s="4" t="s">
        <v>38</v>
      </c>
      <c r="L54" s="4" t="s">
        <v>39</v>
      </c>
      <c r="M54" s="5">
        <v>2465</v>
      </c>
      <c r="N54" s="6">
        <v>5</v>
      </c>
      <c r="O54" s="13">
        <v>0.7</v>
      </c>
      <c r="P54" s="14">
        <v>-1526</v>
      </c>
    </row>
    <row r="55" spans="1:16" x14ac:dyDescent="0.25">
      <c r="A55" s="8" t="s">
        <v>236</v>
      </c>
      <c r="B55" s="8" t="s">
        <v>150</v>
      </c>
      <c r="C55" s="9" t="s">
        <v>19</v>
      </c>
      <c r="D55" s="9" t="s">
        <v>237</v>
      </c>
      <c r="E55" s="9" t="s">
        <v>33</v>
      </c>
      <c r="F55" s="8" t="s">
        <v>22</v>
      </c>
      <c r="G55" s="9" t="s">
        <v>34</v>
      </c>
      <c r="H55" s="9" t="s">
        <v>92</v>
      </c>
      <c r="I55" s="8" t="s">
        <v>93</v>
      </c>
      <c r="J55" s="9" t="s">
        <v>238</v>
      </c>
      <c r="K55" s="9" t="s">
        <v>38</v>
      </c>
      <c r="L55" s="9" t="s">
        <v>153</v>
      </c>
      <c r="M55" s="10">
        <v>973</v>
      </c>
      <c r="N55" s="11">
        <v>6</v>
      </c>
      <c r="O55" s="12">
        <v>0.2</v>
      </c>
      <c r="P55" s="10">
        <v>168</v>
      </c>
    </row>
    <row r="56" spans="1:16" x14ac:dyDescent="0.25">
      <c r="A56" s="3" t="s">
        <v>239</v>
      </c>
      <c r="B56" s="3" t="s">
        <v>155</v>
      </c>
      <c r="C56" s="4" t="s">
        <v>19</v>
      </c>
      <c r="D56" s="4" t="s">
        <v>240</v>
      </c>
      <c r="E56" s="4" t="s">
        <v>44</v>
      </c>
      <c r="F56" s="3" t="s">
        <v>22</v>
      </c>
      <c r="G56" s="4" t="s">
        <v>34</v>
      </c>
      <c r="H56" s="4" t="s">
        <v>35</v>
      </c>
      <c r="I56" s="3" t="s">
        <v>25</v>
      </c>
      <c r="J56" s="4" t="s">
        <v>241</v>
      </c>
      <c r="K56" s="4" t="s">
        <v>38</v>
      </c>
      <c r="L56" s="4" t="s">
        <v>153</v>
      </c>
      <c r="M56" s="5">
        <v>1237</v>
      </c>
      <c r="N56" s="6">
        <v>5</v>
      </c>
      <c r="O56" s="7">
        <v>0.1</v>
      </c>
      <c r="P56" s="5">
        <v>81</v>
      </c>
    </row>
    <row r="57" spans="1:16" x14ac:dyDescent="0.25">
      <c r="A57" s="8" t="s">
        <v>242</v>
      </c>
      <c r="B57" s="8" t="s">
        <v>30</v>
      </c>
      <c r="C57" s="9" t="s">
        <v>64</v>
      </c>
      <c r="D57" s="9" t="s">
        <v>243</v>
      </c>
      <c r="E57" s="9" t="s">
        <v>33</v>
      </c>
      <c r="F57" s="8" t="s">
        <v>22</v>
      </c>
      <c r="G57" s="9" t="s">
        <v>23</v>
      </c>
      <c r="H57" s="9" t="s">
        <v>24</v>
      </c>
      <c r="I57" s="8" t="s">
        <v>36</v>
      </c>
      <c r="J57" s="9" t="s">
        <v>244</v>
      </c>
      <c r="K57" s="9" t="s">
        <v>38</v>
      </c>
      <c r="L57" s="9" t="s">
        <v>153</v>
      </c>
      <c r="M57" s="10">
        <v>733</v>
      </c>
      <c r="N57" s="11">
        <v>7</v>
      </c>
      <c r="O57" s="12">
        <v>0.15</v>
      </c>
      <c r="P57" s="10">
        <v>169</v>
      </c>
    </row>
    <row r="58" spans="1:16" x14ac:dyDescent="0.25">
      <c r="A58" s="3" t="s">
        <v>245</v>
      </c>
      <c r="B58" s="3" t="s">
        <v>41</v>
      </c>
      <c r="C58" s="4" t="s">
        <v>64</v>
      </c>
      <c r="D58" s="4" t="s">
        <v>246</v>
      </c>
      <c r="E58" s="4" t="s">
        <v>33</v>
      </c>
      <c r="F58" s="3" t="s">
        <v>22</v>
      </c>
      <c r="G58" s="4" t="s">
        <v>34</v>
      </c>
      <c r="H58" s="4" t="s">
        <v>24</v>
      </c>
      <c r="I58" s="3" t="s">
        <v>53</v>
      </c>
      <c r="J58" s="4" t="s">
        <v>247</v>
      </c>
      <c r="K58" s="4" t="s">
        <v>38</v>
      </c>
      <c r="L58" s="4" t="s">
        <v>39</v>
      </c>
      <c r="M58" s="5">
        <v>475</v>
      </c>
      <c r="N58" s="6">
        <v>9</v>
      </c>
      <c r="O58" s="7">
        <v>0.2</v>
      </c>
      <c r="P58" s="5">
        <v>34</v>
      </c>
    </row>
    <row r="59" spans="1:16" ht="16.5" x14ac:dyDescent="0.3">
      <c r="A59" s="8" t="s">
        <v>248</v>
      </c>
      <c r="B59" s="8" t="s">
        <v>168</v>
      </c>
      <c r="C59" s="9" t="s">
        <v>19</v>
      </c>
      <c r="D59" s="9" t="s">
        <v>249</v>
      </c>
      <c r="E59" s="9" t="s">
        <v>21</v>
      </c>
      <c r="F59" s="8" t="s">
        <v>22</v>
      </c>
      <c r="G59" s="9" t="s">
        <v>23</v>
      </c>
      <c r="H59" s="9" t="s">
        <v>24</v>
      </c>
      <c r="I59" s="8" t="s">
        <v>36</v>
      </c>
      <c r="J59" s="9" t="s">
        <v>250</v>
      </c>
      <c r="K59" s="9" t="s">
        <v>38</v>
      </c>
      <c r="L59" s="9" t="s">
        <v>220</v>
      </c>
      <c r="M59" s="10">
        <v>1551</v>
      </c>
      <c r="N59" s="11">
        <v>8</v>
      </c>
      <c r="O59" s="13">
        <v>0.7</v>
      </c>
      <c r="P59" s="14">
        <v>-759</v>
      </c>
    </row>
    <row r="60" spans="1:16" ht="16.5" x14ac:dyDescent="0.3">
      <c r="A60" s="3" t="s">
        <v>251</v>
      </c>
      <c r="B60" s="3" t="s">
        <v>50</v>
      </c>
      <c r="C60" s="4" t="s">
        <v>31</v>
      </c>
      <c r="D60" s="4" t="s">
        <v>252</v>
      </c>
      <c r="E60" s="4" t="s">
        <v>44</v>
      </c>
      <c r="F60" s="3" t="s">
        <v>22</v>
      </c>
      <c r="G60" s="4" t="s">
        <v>34</v>
      </c>
      <c r="H60" s="4" t="s">
        <v>35</v>
      </c>
      <c r="I60" s="3" t="s">
        <v>36</v>
      </c>
      <c r="J60" s="4" t="s">
        <v>253</v>
      </c>
      <c r="K60" s="4" t="s">
        <v>47</v>
      </c>
      <c r="L60" s="4" t="s">
        <v>72</v>
      </c>
      <c r="M60" s="5">
        <v>1872</v>
      </c>
      <c r="N60" s="6">
        <v>6</v>
      </c>
      <c r="O60" s="13">
        <v>0.3</v>
      </c>
      <c r="P60" s="14">
        <v>-407</v>
      </c>
    </row>
    <row r="61" spans="1:16" x14ac:dyDescent="0.25">
      <c r="A61" s="8" t="s">
        <v>254</v>
      </c>
      <c r="B61" s="8" t="s">
        <v>57</v>
      </c>
      <c r="C61" s="9" t="s">
        <v>31</v>
      </c>
      <c r="D61" s="9" t="s">
        <v>255</v>
      </c>
      <c r="E61" s="9" t="s">
        <v>33</v>
      </c>
      <c r="F61" s="8" t="s">
        <v>22</v>
      </c>
      <c r="G61" s="9" t="s">
        <v>52</v>
      </c>
      <c r="H61" s="9" t="s">
        <v>24</v>
      </c>
      <c r="I61" s="8" t="s">
        <v>36</v>
      </c>
      <c r="J61" s="9" t="s">
        <v>256</v>
      </c>
      <c r="K61" s="9" t="s">
        <v>27</v>
      </c>
      <c r="L61" s="9" t="s">
        <v>83</v>
      </c>
      <c r="M61" s="10">
        <v>2114</v>
      </c>
      <c r="N61" s="11">
        <v>1</v>
      </c>
      <c r="O61" s="12">
        <v>0.2</v>
      </c>
      <c r="P61" s="10">
        <v>371</v>
      </c>
    </row>
    <row r="62" spans="1:16" ht="16.5" x14ac:dyDescent="0.3">
      <c r="A62" s="3" t="s">
        <v>257</v>
      </c>
      <c r="B62" s="3" t="s">
        <v>63</v>
      </c>
      <c r="C62" s="4" t="s">
        <v>31</v>
      </c>
      <c r="D62" s="4" t="s">
        <v>258</v>
      </c>
      <c r="E62" s="4" t="s">
        <v>44</v>
      </c>
      <c r="F62" s="3" t="s">
        <v>22</v>
      </c>
      <c r="G62" s="4" t="s">
        <v>23</v>
      </c>
      <c r="H62" s="4" t="s">
        <v>59</v>
      </c>
      <c r="I62" s="3" t="s">
        <v>93</v>
      </c>
      <c r="J62" s="4" t="s">
        <v>259</v>
      </c>
      <c r="K62" s="4" t="s">
        <v>38</v>
      </c>
      <c r="L62" s="4" t="s">
        <v>61</v>
      </c>
      <c r="M62" s="5">
        <v>687</v>
      </c>
      <c r="N62" s="6">
        <v>4</v>
      </c>
      <c r="O62" s="13">
        <v>0.5</v>
      </c>
      <c r="P62" s="14">
        <v>-252</v>
      </c>
    </row>
    <row r="63" spans="1:16" x14ac:dyDescent="0.25">
      <c r="A63" s="8" t="s">
        <v>260</v>
      </c>
      <c r="B63" s="8" t="s">
        <v>69</v>
      </c>
      <c r="C63" s="9" t="s">
        <v>64</v>
      </c>
      <c r="D63" s="9" t="s">
        <v>261</v>
      </c>
      <c r="E63" s="9" t="s">
        <v>44</v>
      </c>
      <c r="F63" s="8" t="s">
        <v>22</v>
      </c>
      <c r="G63" s="9" t="s">
        <v>52</v>
      </c>
      <c r="H63" s="9" t="s">
        <v>35</v>
      </c>
      <c r="I63" s="8" t="s">
        <v>36</v>
      </c>
      <c r="J63" s="9" t="s">
        <v>262</v>
      </c>
      <c r="K63" s="9" t="s">
        <v>47</v>
      </c>
      <c r="L63" s="9" t="s">
        <v>77</v>
      </c>
      <c r="M63" s="10">
        <v>1966</v>
      </c>
      <c r="N63" s="11">
        <v>1</v>
      </c>
      <c r="O63" s="12">
        <v>0.2</v>
      </c>
      <c r="P63" s="10">
        <v>372</v>
      </c>
    </row>
    <row r="64" spans="1:16" ht="16.5" x14ac:dyDescent="0.3">
      <c r="A64" s="3" t="s">
        <v>263</v>
      </c>
      <c r="B64" s="3" t="s">
        <v>74</v>
      </c>
      <c r="C64" s="4" t="s">
        <v>31</v>
      </c>
      <c r="D64" s="4" t="s">
        <v>264</v>
      </c>
      <c r="E64" s="4" t="s">
        <v>21</v>
      </c>
      <c r="F64" s="3" t="s">
        <v>22</v>
      </c>
      <c r="G64" s="4" t="s">
        <v>34</v>
      </c>
      <c r="H64" s="4" t="s">
        <v>45</v>
      </c>
      <c r="I64" s="3" t="s">
        <v>25</v>
      </c>
      <c r="J64" s="4" t="s">
        <v>265</v>
      </c>
      <c r="K64" s="4" t="s">
        <v>47</v>
      </c>
      <c r="L64" s="4" t="s">
        <v>77</v>
      </c>
      <c r="M64" s="5">
        <v>409</v>
      </c>
      <c r="N64" s="6">
        <v>5</v>
      </c>
      <c r="O64" s="13">
        <v>0.5</v>
      </c>
      <c r="P64" s="14">
        <v>-238</v>
      </c>
    </row>
    <row r="65" spans="1:16" x14ac:dyDescent="0.25">
      <c r="A65" s="8" t="s">
        <v>266</v>
      </c>
      <c r="B65" s="8" t="s">
        <v>79</v>
      </c>
      <c r="C65" s="9" t="s">
        <v>19</v>
      </c>
      <c r="D65" s="9" t="s">
        <v>267</v>
      </c>
      <c r="E65" s="9" t="s">
        <v>21</v>
      </c>
      <c r="F65" s="8" t="s">
        <v>22</v>
      </c>
      <c r="G65" s="9" t="s">
        <v>66</v>
      </c>
      <c r="H65" s="9" t="s">
        <v>35</v>
      </c>
      <c r="I65" s="8" t="s">
        <v>36</v>
      </c>
      <c r="J65" s="9" t="s">
        <v>268</v>
      </c>
      <c r="K65" s="9" t="s">
        <v>38</v>
      </c>
      <c r="L65" s="9" t="s">
        <v>39</v>
      </c>
      <c r="M65" s="10">
        <v>896</v>
      </c>
      <c r="N65" s="11">
        <v>8</v>
      </c>
      <c r="O65" s="12">
        <v>0.15</v>
      </c>
      <c r="P65" s="10">
        <v>74</v>
      </c>
    </row>
    <row r="66" spans="1:16" x14ac:dyDescent="0.25">
      <c r="A66" s="3" t="s">
        <v>269</v>
      </c>
      <c r="B66" s="3" t="s">
        <v>90</v>
      </c>
      <c r="C66" s="4" t="s">
        <v>64</v>
      </c>
      <c r="D66" s="4" t="s">
        <v>270</v>
      </c>
      <c r="E66" s="4" t="s">
        <v>33</v>
      </c>
      <c r="F66" s="3" t="s">
        <v>22</v>
      </c>
      <c r="G66" s="4" t="s">
        <v>23</v>
      </c>
      <c r="H66" s="4" t="s">
        <v>59</v>
      </c>
      <c r="I66" s="3" t="s">
        <v>25</v>
      </c>
      <c r="J66" s="4" t="s">
        <v>271</v>
      </c>
      <c r="K66" s="4" t="s">
        <v>47</v>
      </c>
      <c r="L66" s="4" t="s">
        <v>55</v>
      </c>
      <c r="M66" s="5">
        <v>530</v>
      </c>
      <c r="N66" s="6">
        <v>7</v>
      </c>
      <c r="O66" s="7">
        <v>0</v>
      </c>
      <c r="P66" s="5">
        <v>55</v>
      </c>
    </row>
    <row r="67" spans="1:16" ht="16.5" x14ac:dyDescent="0.3">
      <c r="A67" s="8" t="s">
        <v>272</v>
      </c>
      <c r="B67" s="8" t="s">
        <v>96</v>
      </c>
      <c r="C67" s="9" t="s">
        <v>64</v>
      </c>
      <c r="D67" s="9" t="s">
        <v>273</v>
      </c>
      <c r="E67" s="9" t="s">
        <v>21</v>
      </c>
      <c r="F67" s="8" t="s">
        <v>22</v>
      </c>
      <c r="G67" s="9" t="s">
        <v>34</v>
      </c>
      <c r="H67" s="9" t="s">
        <v>24</v>
      </c>
      <c r="I67" s="8" t="s">
        <v>53</v>
      </c>
      <c r="J67" s="9" t="s">
        <v>274</v>
      </c>
      <c r="K67" s="9" t="s">
        <v>27</v>
      </c>
      <c r="L67" s="9" t="s">
        <v>103</v>
      </c>
      <c r="M67" s="10">
        <v>733</v>
      </c>
      <c r="N67" s="11">
        <v>1</v>
      </c>
      <c r="O67" s="13">
        <v>0.7</v>
      </c>
      <c r="P67" s="14">
        <v>-561</v>
      </c>
    </row>
    <row r="68" spans="1:16" x14ac:dyDescent="0.25">
      <c r="A68" s="3" t="s">
        <v>275</v>
      </c>
      <c r="B68" s="3" t="s">
        <v>100</v>
      </c>
      <c r="C68" s="4" t="s">
        <v>31</v>
      </c>
      <c r="D68" s="4" t="s">
        <v>276</v>
      </c>
      <c r="E68" s="4" t="s">
        <v>44</v>
      </c>
      <c r="F68" s="3" t="s">
        <v>22</v>
      </c>
      <c r="G68" s="4" t="s">
        <v>81</v>
      </c>
      <c r="H68" s="4" t="s">
        <v>59</v>
      </c>
      <c r="I68" s="3" t="s">
        <v>93</v>
      </c>
      <c r="J68" s="4" t="s">
        <v>277</v>
      </c>
      <c r="K68" s="4" t="s">
        <v>47</v>
      </c>
      <c r="L68" s="4" t="s">
        <v>77</v>
      </c>
      <c r="M68" s="5">
        <v>1489</v>
      </c>
      <c r="N68" s="6">
        <v>8</v>
      </c>
      <c r="O68" s="7">
        <v>0.2</v>
      </c>
      <c r="P68" s="5">
        <v>335</v>
      </c>
    </row>
    <row r="69" spans="1:16" ht="16.5" x14ac:dyDescent="0.3">
      <c r="A69" s="8" t="s">
        <v>278</v>
      </c>
      <c r="B69" s="8" t="s">
        <v>105</v>
      </c>
      <c r="C69" s="9" t="s">
        <v>42</v>
      </c>
      <c r="D69" s="9" t="s">
        <v>279</v>
      </c>
      <c r="E69" s="9" t="s">
        <v>44</v>
      </c>
      <c r="F69" s="8" t="s">
        <v>22</v>
      </c>
      <c r="G69" s="9" t="s">
        <v>52</v>
      </c>
      <c r="H69" s="9" t="s">
        <v>35</v>
      </c>
      <c r="I69" s="8" t="s">
        <v>53</v>
      </c>
      <c r="J69" s="9" t="s">
        <v>280</v>
      </c>
      <c r="K69" s="9" t="s">
        <v>38</v>
      </c>
      <c r="L69" s="9" t="s">
        <v>39</v>
      </c>
      <c r="M69" s="10">
        <v>790</v>
      </c>
      <c r="N69" s="11">
        <v>1</v>
      </c>
      <c r="O69" s="13">
        <v>0.5</v>
      </c>
      <c r="P69" s="14">
        <v>-341</v>
      </c>
    </row>
    <row r="70" spans="1:16" ht="16.5" x14ac:dyDescent="0.3">
      <c r="A70" s="3" t="s">
        <v>281</v>
      </c>
      <c r="B70" s="3" t="s">
        <v>109</v>
      </c>
      <c r="C70" s="4" t="s">
        <v>64</v>
      </c>
      <c r="D70" s="4" t="s">
        <v>282</v>
      </c>
      <c r="E70" s="4" t="s">
        <v>21</v>
      </c>
      <c r="F70" s="3" t="s">
        <v>22</v>
      </c>
      <c r="G70" s="4" t="s">
        <v>23</v>
      </c>
      <c r="H70" s="4" t="s">
        <v>59</v>
      </c>
      <c r="I70" s="3" t="s">
        <v>25</v>
      </c>
      <c r="J70" s="4" t="s">
        <v>283</v>
      </c>
      <c r="K70" s="4" t="s">
        <v>27</v>
      </c>
      <c r="L70" s="4" t="s">
        <v>103</v>
      </c>
      <c r="M70" s="5">
        <v>597</v>
      </c>
      <c r="N70" s="6">
        <v>7</v>
      </c>
      <c r="O70" s="13">
        <v>0.3</v>
      </c>
      <c r="P70" s="14">
        <v>-190</v>
      </c>
    </row>
    <row r="71" spans="1:16" x14ac:dyDescent="0.25">
      <c r="A71" s="8" t="s">
        <v>284</v>
      </c>
      <c r="B71" s="8" t="s">
        <v>113</v>
      </c>
      <c r="C71" s="9" t="s">
        <v>64</v>
      </c>
      <c r="D71" s="9" t="s">
        <v>285</v>
      </c>
      <c r="E71" s="9" t="s">
        <v>44</v>
      </c>
      <c r="F71" s="8" t="s">
        <v>22</v>
      </c>
      <c r="G71" s="9" t="s">
        <v>66</v>
      </c>
      <c r="H71" s="9" t="s">
        <v>35</v>
      </c>
      <c r="I71" s="8" t="s">
        <v>53</v>
      </c>
      <c r="J71" s="9" t="s">
        <v>286</v>
      </c>
      <c r="K71" s="9" t="s">
        <v>38</v>
      </c>
      <c r="L71" s="9" t="s">
        <v>153</v>
      </c>
      <c r="M71" s="10">
        <v>466</v>
      </c>
      <c r="N71" s="11">
        <v>9</v>
      </c>
      <c r="O71" s="12">
        <v>0.15</v>
      </c>
      <c r="P71" s="10">
        <v>91</v>
      </c>
    </row>
    <row r="72" spans="1:16" ht="16.5" x14ac:dyDescent="0.3">
      <c r="A72" s="3" t="s">
        <v>287</v>
      </c>
      <c r="B72" s="3" t="s">
        <v>208</v>
      </c>
      <c r="C72" s="4" t="s">
        <v>64</v>
      </c>
      <c r="D72" s="4" t="s">
        <v>288</v>
      </c>
      <c r="E72" s="4" t="s">
        <v>21</v>
      </c>
      <c r="F72" s="3" t="s">
        <v>22</v>
      </c>
      <c r="G72" s="4" t="s">
        <v>52</v>
      </c>
      <c r="H72" s="4" t="s">
        <v>35</v>
      </c>
      <c r="I72" s="3" t="s">
        <v>93</v>
      </c>
      <c r="J72" s="4" t="s">
        <v>289</v>
      </c>
      <c r="K72" s="4" t="s">
        <v>47</v>
      </c>
      <c r="L72" s="4" t="s">
        <v>77</v>
      </c>
      <c r="M72" s="5">
        <v>157</v>
      </c>
      <c r="N72" s="6">
        <v>1</v>
      </c>
      <c r="O72" s="13">
        <v>0.3</v>
      </c>
      <c r="P72" s="14">
        <v>-54</v>
      </c>
    </row>
    <row r="73" spans="1:16" x14ac:dyDescent="0.25">
      <c r="A73" s="8" t="s">
        <v>290</v>
      </c>
      <c r="B73" s="8" t="s">
        <v>117</v>
      </c>
      <c r="C73" s="9" t="s">
        <v>42</v>
      </c>
      <c r="D73" s="9" t="s">
        <v>291</v>
      </c>
      <c r="E73" s="9" t="s">
        <v>21</v>
      </c>
      <c r="F73" s="8" t="s">
        <v>22</v>
      </c>
      <c r="G73" s="9" t="s">
        <v>66</v>
      </c>
      <c r="H73" s="9" t="s">
        <v>24</v>
      </c>
      <c r="I73" s="8" t="s">
        <v>53</v>
      </c>
      <c r="J73" s="9" t="s">
        <v>292</v>
      </c>
      <c r="K73" s="9" t="s">
        <v>47</v>
      </c>
      <c r="L73" s="9" t="s">
        <v>55</v>
      </c>
      <c r="M73" s="10">
        <v>62</v>
      </c>
      <c r="N73" s="11">
        <v>3</v>
      </c>
      <c r="O73" s="12">
        <v>0.15</v>
      </c>
      <c r="P73" s="10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10" sqref="A10"/>
    </sheetView>
  </sheetViews>
  <sheetFormatPr defaultRowHeight="15" x14ac:dyDescent="0.25"/>
  <cols>
    <col min="1" max="1" width="148" customWidth="1"/>
    <col min="2" max="3" width="86" customWidth="1"/>
  </cols>
  <sheetData>
    <row r="1" spans="1:3" ht="16.5" x14ac:dyDescent="0.3">
      <c r="A1" s="1" t="s">
        <v>293</v>
      </c>
    </row>
    <row r="3" spans="1:3" ht="16.5" x14ac:dyDescent="0.3">
      <c r="A3" s="2" t="s">
        <v>9</v>
      </c>
      <c r="B3" s="2" t="s">
        <v>294</v>
      </c>
      <c r="C3" s="2" t="s">
        <v>295</v>
      </c>
    </row>
    <row r="4" spans="1:3" x14ac:dyDescent="0.25">
      <c r="A4" s="3" t="s">
        <v>25</v>
      </c>
      <c r="B4" s="5">
        <f>SUMIF('Task 1 and 3 - Clean Data'!I4:I73, A4, 'Task 1 and 3 - Clean Data'!M4:M73)</f>
        <v>17669</v>
      </c>
      <c r="C4" s="5">
        <f>SUMIF('Task 1 and 3 - Clean Data'!I4:I73, A4, 'Task 1 and 3 - Clean Data'!P4:P73)</f>
        <v>-3852</v>
      </c>
    </row>
    <row r="5" spans="1:3" x14ac:dyDescent="0.25">
      <c r="A5" s="8" t="s">
        <v>53</v>
      </c>
      <c r="B5" s="10">
        <f>SUMIF('Task 1 and 3 - Clean Data'!I4:I73, A5, 'Task 1 and 3 - Clean Data'!M4:M73)</f>
        <v>16187</v>
      </c>
      <c r="C5" s="10">
        <f>SUMIF('Task 1 and 3 - Clean Data'!I4:I73, A5, 'Task 1 and 3 - Clean Data'!P4:P73)</f>
        <v>-2985</v>
      </c>
    </row>
    <row r="6" spans="1:3" x14ac:dyDescent="0.25">
      <c r="A6" s="3" t="s">
        <v>93</v>
      </c>
      <c r="B6" s="5">
        <f>SUMIF('Task 1 and 3 - Clean Data'!I4:I73, A6, 'Task 1 and 3 - Clean Data'!M4:M73)</f>
        <v>16257</v>
      </c>
      <c r="C6" s="5">
        <f>SUMIF('Task 1 and 3 - Clean Data'!I4:I73, A6, 'Task 1 and 3 - Clean Data'!P4:P73)</f>
        <v>-438</v>
      </c>
    </row>
    <row r="7" spans="1:3" x14ac:dyDescent="0.25">
      <c r="A7" s="8" t="s">
        <v>36</v>
      </c>
      <c r="B7" s="10">
        <f>SUMIF('Task 1 and 3 - Clean Data'!I4:I73, A7, 'Task 1 and 3 - Clean Data'!M4:M73)</f>
        <v>25935</v>
      </c>
      <c r="C7" s="10">
        <f>SUMIF('Task 1 and 3 - Clean Data'!I4:I73, A7, 'Task 1 and 3 - Clean Data'!P4:P73)</f>
        <v>-2087</v>
      </c>
    </row>
    <row r="8" spans="1:3" ht="16.5" x14ac:dyDescent="0.3">
      <c r="A8" s="15" t="s">
        <v>296</v>
      </c>
      <c r="B8" s="16">
        <f>SUM(B4:B7)</f>
        <v>76048</v>
      </c>
      <c r="C8" s="16">
        <f>SUM(C4:C7)</f>
        <v>-9362</v>
      </c>
    </row>
    <row r="10" spans="1:3" ht="16.5" x14ac:dyDescent="0.3">
      <c r="A10" s="17"/>
    </row>
    <row r="11" spans="1:3" x14ac:dyDescent="0.25">
      <c r="A11" s="1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5" x14ac:dyDescent="0.25"/>
  <cols>
    <col min="1" max="2" width="16" customWidth="1"/>
    <col min="3" max="9" width="14" customWidth="1"/>
  </cols>
  <sheetData>
    <row r="1" spans="1:9" ht="16.5" x14ac:dyDescent="0.3">
      <c r="A1" s="1" t="s">
        <v>297</v>
      </c>
    </row>
    <row r="3" spans="1:9" x14ac:dyDescent="0.25">
      <c r="A3" s="25" t="s">
        <v>298</v>
      </c>
      <c r="B3" s="26"/>
      <c r="C3" s="26"/>
      <c r="D3" s="26"/>
      <c r="E3" s="26"/>
      <c r="F3" s="26"/>
      <c r="G3" s="26"/>
      <c r="H3" s="26"/>
      <c r="I3" s="26"/>
    </row>
    <row r="4" spans="1:9" x14ac:dyDescent="0.25">
      <c r="A4" s="26"/>
      <c r="B4" s="26"/>
      <c r="C4" s="26"/>
      <c r="D4" s="26"/>
      <c r="E4" s="26"/>
      <c r="F4" s="26"/>
      <c r="G4" s="26"/>
      <c r="H4" s="26"/>
      <c r="I4" s="26"/>
    </row>
    <row r="6" spans="1:9" x14ac:dyDescent="0.25">
      <c r="A6" s="24" t="s">
        <v>299</v>
      </c>
      <c r="B6" s="23"/>
      <c r="C6" s="23"/>
      <c r="D6" s="24" t="s">
        <v>300</v>
      </c>
      <c r="E6" s="23"/>
      <c r="F6" s="23"/>
    </row>
    <row r="7" spans="1:9" ht="20.25" x14ac:dyDescent="0.35">
      <c r="A7" s="22">
        <f>'Task 2 - Regional Analysis'!B8</f>
        <v>76048</v>
      </c>
      <c r="B7" s="23"/>
      <c r="C7" s="23"/>
      <c r="D7" s="22">
        <f>'Task 2 - Regional Analysis'!C8</f>
        <v>-9362</v>
      </c>
      <c r="E7" s="23"/>
      <c r="F7" s="23"/>
    </row>
    <row r="10" spans="1:9" ht="16.5" x14ac:dyDescent="0.3">
      <c r="A10" s="19" t="s">
        <v>11</v>
      </c>
      <c r="B10" s="19" t="s">
        <v>301</v>
      </c>
    </row>
    <row r="11" spans="1:9" x14ac:dyDescent="0.25">
      <c r="A11" s="9" t="s">
        <v>47</v>
      </c>
      <c r="B11" s="10">
        <f>SUMIF('Task 1 and 3 - Clean Data'!K4:K73, A11, 'Task 1 and 3 - Clean Data'!M4:M73)</f>
        <v>31201</v>
      </c>
    </row>
    <row r="12" spans="1:9" x14ac:dyDescent="0.25">
      <c r="A12" s="9" t="s">
        <v>38</v>
      </c>
      <c r="B12" s="10">
        <f>SUMIF('Task 1 and 3 - Clean Data'!K4:K73, A12, 'Task 1 and 3 - Clean Data'!M4:M73)</f>
        <v>20747</v>
      </c>
    </row>
    <row r="13" spans="1:9" x14ac:dyDescent="0.25">
      <c r="A13" s="9" t="s">
        <v>27</v>
      </c>
      <c r="B13" s="10">
        <f>SUMIF('Task 1 and 3 - Clean Data'!K4:K73, A13, 'Task 1 and 3 - Clean Data'!M4:M73)</f>
        <v>24100</v>
      </c>
    </row>
  </sheetData>
  <mergeCells count="5">
    <mergeCell ref="D7:F7"/>
    <mergeCell ref="A6:C6"/>
    <mergeCell ref="A3:I4"/>
    <mergeCell ref="A7:C7"/>
    <mergeCell ref="D6:F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workbookViewId="0">
      <selection activeCell="D4" sqref="D4:I8"/>
    </sheetView>
  </sheetViews>
  <sheetFormatPr defaultRowHeight="15" x14ac:dyDescent="0.25"/>
  <cols>
    <col min="1" max="1" width="16" customWidth="1"/>
    <col min="2" max="2" width="86" customWidth="1"/>
    <col min="3" max="9" width="14" customWidth="1"/>
  </cols>
  <sheetData>
    <row r="1" spans="1:9" ht="16.5" x14ac:dyDescent="0.3">
      <c r="A1" s="1" t="s">
        <v>302</v>
      </c>
    </row>
    <row r="3" spans="1:9" ht="16.5" x14ac:dyDescent="0.3">
      <c r="A3" s="19" t="s">
        <v>12</v>
      </c>
      <c r="B3" s="19" t="s">
        <v>303</v>
      </c>
    </row>
    <row r="4" spans="1:9" x14ac:dyDescent="0.25">
      <c r="A4" s="20" t="s">
        <v>83</v>
      </c>
      <c r="B4" s="5">
        <f>SUMIF('Task 1 and 3 - Clean Data'!L4:L73, A4, 'Task 1 and 3 - Clean Data'!P4:P73)</f>
        <v>650</v>
      </c>
      <c r="D4" s="27"/>
      <c r="E4" s="23"/>
      <c r="F4" s="23"/>
      <c r="G4" s="23"/>
      <c r="H4" s="23"/>
      <c r="I4" s="23"/>
    </row>
    <row r="5" spans="1:9" x14ac:dyDescent="0.25">
      <c r="A5" s="21" t="s">
        <v>136</v>
      </c>
      <c r="B5" s="10">
        <f>SUMIF('Task 1 and 3 - Clean Data'!L4:L73, A5, 'Task 1 and 3 - Clean Data'!P4:P73)</f>
        <v>437</v>
      </c>
      <c r="D5" s="23"/>
      <c r="E5" s="23"/>
      <c r="F5" s="23"/>
      <c r="G5" s="23"/>
      <c r="H5" s="23"/>
      <c r="I5" s="23"/>
    </row>
    <row r="6" spans="1:9" x14ac:dyDescent="0.25">
      <c r="A6" s="20" t="s">
        <v>28</v>
      </c>
      <c r="B6" s="5">
        <f>SUMIF('Task 1 and 3 - Clean Data'!L4:L73, A6, 'Task 1 and 3 - Clean Data'!P4:P73)</f>
        <v>-55</v>
      </c>
      <c r="D6" s="23"/>
      <c r="E6" s="23"/>
      <c r="F6" s="23"/>
      <c r="G6" s="23"/>
      <c r="H6" s="23"/>
      <c r="I6" s="23"/>
    </row>
    <row r="7" spans="1:9" x14ac:dyDescent="0.25">
      <c r="A7" s="21" t="s">
        <v>88</v>
      </c>
      <c r="B7" s="10">
        <f>SUMIF('Task 1 and 3 - Clean Data'!L4:L73, A7, 'Task 1 and 3 - Clean Data'!P4:P73)</f>
        <v>-89</v>
      </c>
      <c r="D7" s="23"/>
      <c r="E7" s="23"/>
      <c r="F7" s="23"/>
      <c r="G7" s="23"/>
      <c r="H7" s="23"/>
      <c r="I7" s="23"/>
    </row>
    <row r="8" spans="1:9" x14ac:dyDescent="0.25">
      <c r="A8" s="20" t="s">
        <v>72</v>
      </c>
      <c r="B8" s="5">
        <f>SUMIF('Task 1 and 3 - Clean Data'!L4:L73, A8, 'Task 1 and 3 - Clean Data'!P4:P73)</f>
        <v>-104</v>
      </c>
      <c r="D8" s="23"/>
      <c r="E8" s="23"/>
      <c r="F8" s="23"/>
      <c r="G8" s="23"/>
      <c r="H8" s="23"/>
      <c r="I8" s="23"/>
    </row>
  </sheetData>
  <mergeCells count="1">
    <mergeCell ref="D4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and 3 - Clean Data</vt:lpstr>
      <vt:lpstr>Task 2 - Regional Analysis</vt:lpstr>
      <vt:lpstr>Task 4 - Sales Dashboard</vt:lpstr>
      <vt:lpstr>Task 5 - Top Sub-Categories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2026-07-09T06:19:03Z</dcterms:created>
  <dcterms:modified xsi:type="dcterms:W3CDTF">2026-07-09T06:21:51Z</dcterms:modified>
</cp:coreProperties>
</file>