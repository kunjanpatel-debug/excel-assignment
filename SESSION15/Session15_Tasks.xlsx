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PS\Excel\EXCEL ASSIGNMENT NEW\SESSION15\"/>
    </mc:Choice>
  </mc:AlternateContent>
  <xr:revisionPtr revIDLastSave="0" documentId="13_ncr:1_{8DFDFCFB-C723-4D01-8644-B4927359FBB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ask1" sheetId="1" r:id="rId1"/>
    <sheet name="task 2 &amp; 3" sheetId="2" r:id="rId2"/>
    <sheet name="task4" sheetId="3" r:id="rId3"/>
    <sheet name="task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B19" i="3"/>
  <c r="B18" i="3"/>
  <c r="B17" i="3"/>
  <c r="B14" i="3"/>
  <c r="B13" i="3"/>
  <c r="B12" i="3"/>
  <c r="B11" i="3"/>
  <c r="B10" i="3"/>
  <c r="B9" i="3"/>
  <c r="B8" i="3"/>
  <c r="B7" i="3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<sst xmlns="http://schemas.openxmlformats.org/spreadsheetml/2006/main" count="455" uniqueCount="118">
  <si>
    <t>Task 1 Data Source: Historical sample dataset of IPL cricket matches used to feed summary data structures.</t>
  </si>
  <si>
    <t>Match ID</t>
  </si>
  <si>
    <t>Match Date</t>
  </si>
  <si>
    <t>Season Year</t>
  </si>
  <si>
    <t>Team 1</t>
  </si>
  <si>
    <t>Team 2</t>
  </si>
  <si>
    <t>Venue</t>
  </si>
  <si>
    <t>Winner</t>
  </si>
  <si>
    <t>IPL-2024-001</t>
  </si>
  <si>
    <t>KKR</t>
  </si>
  <si>
    <t>RR</t>
  </si>
  <si>
    <t>Narendra Modi Stadium</t>
  </si>
  <si>
    <t>IPL-2024-002</t>
  </si>
  <si>
    <t>MI</t>
  </si>
  <si>
    <t>GT</t>
  </si>
  <si>
    <t>Wankhede Stadium</t>
  </si>
  <si>
    <t>IPL-2024-003</t>
  </si>
  <si>
    <t>RCB</t>
  </si>
  <si>
    <t>SRH</t>
  </si>
  <si>
    <t>IPL-2024-004</t>
  </si>
  <si>
    <t>IPL-2024-005</t>
  </si>
  <si>
    <t>IPL-2024-006</t>
  </si>
  <si>
    <t>IPL-2024-007</t>
  </si>
  <si>
    <t>DC</t>
  </si>
  <si>
    <t>IPL-2024-008</t>
  </si>
  <si>
    <t>Eden Gardens</t>
  </si>
  <si>
    <t>IPL-2024-009</t>
  </si>
  <si>
    <t>IPL-2024-010</t>
  </si>
  <si>
    <t>CSK</t>
  </si>
  <si>
    <t>IPL-2024-011</t>
  </si>
  <si>
    <t>M.A. Chidambaram Stadium</t>
  </si>
  <si>
    <t>IPL-2024-012</t>
  </si>
  <si>
    <t>M. Chinnaswamy Stadium</t>
  </si>
  <si>
    <t>IPL-2024-013</t>
  </si>
  <si>
    <t>IPL-2024-014</t>
  </si>
  <si>
    <t>IPL-2024-015</t>
  </si>
  <si>
    <t>IPL-2024-016</t>
  </si>
  <si>
    <t>IPL-2024-017</t>
  </si>
  <si>
    <t>IPL-2024-018</t>
  </si>
  <si>
    <t>IPL-2024-019</t>
  </si>
  <si>
    <t>IPL-2024-020</t>
  </si>
  <si>
    <t>IPL-2024-021</t>
  </si>
  <si>
    <t>IPL-2024-022</t>
  </si>
  <si>
    <t>IPL-2024-023</t>
  </si>
  <si>
    <t>IPL-2024-024</t>
  </si>
  <si>
    <t>IPL-2024-025</t>
  </si>
  <si>
    <t>IPL-2025-026</t>
  </si>
  <si>
    <t>IPL-2025-027</t>
  </si>
  <si>
    <t>IPL-2025-028</t>
  </si>
  <si>
    <t>IPL-2025-029</t>
  </si>
  <si>
    <t>IPL-2025-030</t>
  </si>
  <si>
    <t>IPL-2025-031</t>
  </si>
  <si>
    <t>IPL-2025-032</t>
  </si>
  <si>
    <t>IPL-2025-033</t>
  </si>
  <si>
    <t>IPL-2025-034</t>
  </si>
  <si>
    <t>IPL-2025-035</t>
  </si>
  <si>
    <t>IPL-2025-036</t>
  </si>
  <si>
    <t>IPL-2025-037</t>
  </si>
  <si>
    <t>IPL-2025-038</t>
  </si>
  <si>
    <t>IPL-2025-039</t>
  </si>
  <si>
    <t>IPL-2025-040</t>
  </si>
  <si>
    <t>IPL-2025-041</t>
  </si>
  <si>
    <t>IPL-2025-042</t>
  </si>
  <si>
    <t>IPL-2025-043</t>
  </si>
  <si>
    <t>IPL-2025-044</t>
  </si>
  <si>
    <t>IPL-2025-045</t>
  </si>
  <si>
    <t>IPL-2025-046</t>
  </si>
  <si>
    <t>IPL-2025-047</t>
  </si>
  <si>
    <t>IPL-2025-048</t>
  </si>
  <si>
    <t>IPL-2025-049</t>
  </si>
  <si>
    <t>IPL-2025-050</t>
  </si>
  <si>
    <t>IPL-2026-051</t>
  </si>
  <si>
    <t>IPL-2026-052</t>
  </si>
  <si>
    <t>IPL-2026-053</t>
  </si>
  <si>
    <t>IPL-2026-054</t>
  </si>
  <si>
    <t>IPL-2026-055</t>
  </si>
  <si>
    <t>IPL-2026-056</t>
  </si>
  <si>
    <t>IPL-2026-057</t>
  </si>
  <si>
    <t>IPL-2026-058</t>
  </si>
  <si>
    <t>IPL-2026-059</t>
  </si>
  <si>
    <t>IPL-2026-060</t>
  </si>
  <si>
    <t>IPL-2026-061</t>
  </si>
  <si>
    <t>IPL-2026-062</t>
  </si>
  <si>
    <t>IPL-2026-063</t>
  </si>
  <si>
    <t>IPL-2026-064</t>
  </si>
  <si>
    <t>IPL-2026-065</t>
  </si>
  <si>
    <t>IPL-2026-066</t>
  </si>
  <si>
    <t>IPL-2026-067</t>
  </si>
  <si>
    <t>IPL-2026-068</t>
  </si>
  <si>
    <t>IPL-2026-069</t>
  </si>
  <si>
    <t>IPL-2026-070</t>
  </si>
  <si>
    <t>IPL-2026-071</t>
  </si>
  <si>
    <t>IPL-2026-072</t>
  </si>
  <si>
    <t>IPL-2026-073</t>
  </si>
  <si>
    <t>IPL-2026-074</t>
  </si>
  <si>
    <t>IPL-2026-075</t>
  </si>
  <si>
    <t>IPL-2026-076</t>
  </si>
  <si>
    <t>IPL-2026-077</t>
  </si>
  <si>
    <t>IPL-2026-078</t>
  </si>
  <si>
    <t>IPL-2026-079</t>
  </si>
  <si>
    <t>IPL-2026-080</t>
  </si>
  <si>
    <t>Task 2 &amp; 3: Total Matches played per Team with Stadium Venue Slicer and Season Timeline filters applied.</t>
  </si>
  <si>
    <t>Team</t>
  </si>
  <si>
    <t>Matches Count</t>
  </si>
  <si>
    <t>VENUE SLICER PANEL</t>
  </si>
  <si>
    <t>TIMELINE: Season</t>
  </si>
  <si>
    <t>2024</t>
  </si>
  <si>
    <t>2025 (Selected)</t>
  </si>
  <si>
    <t>2026</t>
  </si>
  <si>
    <t>Task 4: Interactive Dashboard linking multi-axis Bar (Wins) and Line (Trend over Time) charts to unified filter slicers.</t>
  </si>
  <si>
    <t xml:space="preserve">   IPL MANAGEMENT ANALYTICS INSIGHTS SUITE</t>
  </si>
  <si>
    <t>Total Wins</t>
  </si>
  <si>
    <t>Matches Played</t>
  </si>
  <si>
    <t>Task 5: Matrix view tracking team wins per season. Highlighting top performers using custom chart styles.</t>
  </si>
  <si>
    <t>Team / Season</t>
  </si>
  <si>
    <t>2024 Wins</t>
  </si>
  <si>
    <t>2025 Wins</t>
  </si>
  <si>
    <t>2026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</si>
</sst>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Segoe UI"/>
    </font>
    <font>
      <sz val="11"/>
      <name val="Segoe UI"/>
    </font>
    <font>
      <b/>
      <sz val="11"/>
      <color rgb="FFFFFFFF"/>
      <name val="Segoe UI"/>
    </font>
    <font>
      <b/>
      <sz val="11"/>
      <name val="Segoe UI"/>
    </font>
    <font>
      <b/>
      <sz val="13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2" borderId="0" xfId="0" applyFont="1" applyFill="1"/>
    <xf numFmtId="0" fontId="3" fillId="4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4" fillId="5" borderId="1" xfId="0" applyFont="1" applyFill="1" applyBorder="1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5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Matches Played by Team (Filtered)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&amp; 3'!$B$3</c:f>
              <c:strCache>
                <c:ptCount val="1"/>
                <c:pt idx="0">
                  <c:v>Matches 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'task 2 &amp; 3'!$A$4:$A$11</c:f>
              <c:strCache>
                <c:ptCount val="8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MI</c:v>
                </c:pt>
                <c:pt idx="5">
                  <c:v>RCB</c:v>
                </c:pt>
                <c:pt idx="6">
                  <c:v>RR</c:v>
                </c:pt>
                <c:pt idx="7">
                  <c:v>SRH</c:v>
                </c:pt>
              </c:strCache>
            </c:strRef>
          </c:cat>
          <c:val>
            <c:numRef>
              <c:f>'task 2 &amp; 3'!$B$4:$B$11</c:f>
              <c:numCache>
                <c:formatCode>General</c:formatCode>
                <c:ptCount val="8"/>
                <c:pt idx="0">
                  <c:v>19</c:v>
                </c:pt>
                <c:pt idx="1">
                  <c:v>17</c:v>
                </c:pt>
                <c:pt idx="2">
                  <c:v>24</c:v>
                </c:pt>
                <c:pt idx="3">
                  <c:v>18</c:v>
                </c:pt>
                <c:pt idx="4">
                  <c:v>25</c:v>
                </c:pt>
                <c:pt idx="5">
                  <c:v>14</c:v>
                </c:pt>
                <c:pt idx="6">
                  <c:v>25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1-4C0B-81A7-77E5AB99A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Team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Matches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Wins by Team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task4!$B$6</c:f>
              <c:strCache>
                <c:ptCount val="1"/>
                <c:pt idx="0">
                  <c:v>Total Wins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task4!$A$7:$A$14</c:f>
              <c:strCache>
                <c:ptCount val="8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MI</c:v>
                </c:pt>
                <c:pt idx="5">
                  <c:v>RCB</c:v>
                </c:pt>
                <c:pt idx="6">
                  <c:v>RR</c:v>
                </c:pt>
                <c:pt idx="7">
                  <c:v>SRH</c:v>
                </c:pt>
              </c:strCache>
            </c:strRef>
          </c:cat>
          <c:val>
            <c:numRef>
              <c:f>task4!$B$7:$B$14</c:f>
              <c:numCache>
                <c:formatCode>General</c:formatCode>
                <c:ptCount val="8"/>
                <c:pt idx="0">
                  <c:v>7</c:v>
                </c:pt>
                <c:pt idx="1">
                  <c:v>11</c:v>
                </c:pt>
                <c:pt idx="2">
                  <c:v>10</c:v>
                </c:pt>
                <c:pt idx="3">
                  <c:v>13</c:v>
                </c:pt>
                <c:pt idx="4">
                  <c:v>11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7-4A2A-AA7B-D6EAF52A5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Matches Trajectory Trend Timeline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task4!$B$16</c:f>
              <c:strCache>
                <c:ptCount val="1"/>
                <c:pt idx="0">
                  <c:v>Matches Played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task4!$A$17:$A$19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task4!$B$17:$B$19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9A-4451-9BEE-4624AC84D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Yearly Performance Standings Breakdown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task5!$B$3</c:f>
              <c:strCache>
                <c:ptCount val="1"/>
                <c:pt idx="0">
                  <c:v>2024 Wins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task5!$A$4:$A$11</c:f>
              <c:strCache>
                <c:ptCount val="8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MI</c:v>
                </c:pt>
                <c:pt idx="5">
                  <c:v>RCB</c:v>
                </c:pt>
                <c:pt idx="6">
                  <c:v>RR</c:v>
                </c:pt>
                <c:pt idx="7">
                  <c:v>SRH</c:v>
                </c:pt>
              </c:strCache>
            </c:strRef>
          </c:cat>
          <c:val>
            <c:numRef>
              <c:f>task5!$B$4:$B$11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4-4290-AF89-B726C631C624}"/>
            </c:ext>
          </c:extLst>
        </c:ser>
        <c:ser>
          <c:idx val="1"/>
          <c:order val="1"/>
          <c:tx>
            <c:strRef>
              <c:f>task5!$C$3</c:f>
              <c:strCache>
                <c:ptCount val="1"/>
                <c:pt idx="0">
                  <c:v>2025 Wins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task5!$A$4:$A$11</c:f>
              <c:strCache>
                <c:ptCount val="8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MI</c:v>
                </c:pt>
                <c:pt idx="5">
                  <c:v>RCB</c:v>
                </c:pt>
                <c:pt idx="6">
                  <c:v>RR</c:v>
                </c:pt>
                <c:pt idx="7">
                  <c:v>SRH</c:v>
                </c:pt>
              </c:strCache>
            </c:strRef>
          </c:cat>
          <c:val>
            <c:numRef>
              <c:f>task5!$C$4:$C$11</c:f>
              <c:numCache>
                <c:formatCode>General</c:formatCode>
                <c:ptCount val="8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04-4290-AF89-B726C631C624}"/>
            </c:ext>
          </c:extLst>
        </c:ser>
        <c:ser>
          <c:idx val="2"/>
          <c:order val="2"/>
          <c:tx>
            <c:strRef>
              <c:f>task5!$D$3</c:f>
              <c:strCache>
                <c:ptCount val="1"/>
                <c:pt idx="0">
                  <c:v>2026 Wins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task5!$A$4:$A$11</c:f>
              <c:strCache>
                <c:ptCount val="8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MI</c:v>
                </c:pt>
                <c:pt idx="5">
                  <c:v>RCB</c:v>
                </c:pt>
                <c:pt idx="6">
                  <c:v>RR</c:v>
                </c:pt>
                <c:pt idx="7">
                  <c:v>SRH</c:v>
                </c:pt>
              </c:strCache>
            </c:strRef>
          </c:cat>
          <c:val>
            <c:numRef>
              <c:f>task5!$D$4:$D$11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04-4290-AF89-B726C631C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15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workbookViewId="0"/>
  </sheetViews>
  <sheetFormatPr defaultRowHeight="15" x14ac:dyDescent="0.25"/>
  <cols>
    <col min="1" max="1" width="16" customWidth="1"/>
    <col min="2" max="5" width="15" customWidth="1"/>
    <col min="6" max="6" width="25" customWidth="1"/>
    <col min="7" max="7" width="15" customWidth="1"/>
  </cols>
  <sheetData>
    <row r="1" spans="1:7" ht="16.5" x14ac:dyDescent="0.3">
      <c r="A1" s="1" t="s">
        <v>0</v>
      </c>
    </row>
    <row r="3" spans="1:7" ht="16.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16.5" x14ac:dyDescent="0.3">
      <c r="A4" s="3" t="s">
        <v>8</v>
      </c>
      <c r="B4" s="4">
        <v>45381</v>
      </c>
      <c r="C4" s="3">
        <v>2024</v>
      </c>
      <c r="D4" s="3" t="s">
        <v>9</v>
      </c>
      <c r="E4" s="3" t="s">
        <v>10</v>
      </c>
      <c r="F4" s="5" t="s">
        <v>11</v>
      </c>
      <c r="G4" s="3" t="s">
        <v>9</v>
      </c>
    </row>
    <row r="5" spans="1:7" ht="16.5" x14ac:dyDescent="0.3">
      <c r="A5" s="6" t="s">
        <v>12</v>
      </c>
      <c r="B5" s="7">
        <v>45390</v>
      </c>
      <c r="C5" s="6">
        <v>2024</v>
      </c>
      <c r="D5" s="6" t="s">
        <v>13</v>
      </c>
      <c r="E5" s="6" t="s">
        <v>14</v>
      </c>
      <c r="F5" s="8" t="s">
        <v>15</v>
      </c>
      <c r="G5" s="6" t="s">
        <v>14</v>
      </c>
    </row>
    <row r="6" spans="1:7" ht="16.5" x14ac:dyDescent="0.3">
      <c r="A6" s="3" t="s">
        <v>16</v>
      </c>
      <c r="B6" s="4">
        <v>45402</v>
      </c>
      <c r="C6" s="3">
        <v>2024</v>
      </c>
      <c r="D6" s="3" t="s">
        <v>17</v>
      </c>
      <c r="E6" s="3" t="s">
        <v>18</v>
      </c>
      <c r="F6" s="5" t="s">
        <v>15</v>
      </c>
      <c r="G6" s="3" t="s">
        <v>17</v>
      </c>
    </row>
    <row r="7" spans="1:7" ht="16.5" x14ac:dyDescent="0.3">
      <c r="A7" s="6" t="s">
        <v>19</v>
      </c>
      <c r="B7" s="7">
        <v>45374</v>
      </c>
      <c r="C7" s="6">
        <v>2024</v>
      </c>
      <c r="D7" s="6" t="s">
        <v>17</v>
      </c>
      <c r="E7" s="6" t="s">
        <v>14</v>
      </c>
      <c r="F7" s="8" t="s">
        <v>15</v>
      </c>
      <c r="G7" s="6" t="s">
        <v>17</v>
      </c>
    </row>
    <row r="8" spans="1:7" ht="16.5" x14ac:dyDescent="0.3">
      <c r="A8" s="3" t="s">
        <v>20</v>
      </c>
      <c r="B8" s="4">
        <v>45429</v>
      </c>
      <c r="C8" s="3">
        <v>2024</v>
      </c>
      <c r="D8" s="3" t="s">
        <v>14</v>
      </c>
      <c r="E8" s="3" t="s">
        <v>10</v>
      </c>
      <c r="F8" s="5" t="s">
        <v>11</v>
      </c>
      <c r="G8" s="3" t="s">
        <v>14</v>
      </c>
    </row>
    <row r="9" spans="1:7" ht="16.5" x14ac:dyDescent="0.3">
      <c r="A9" s="6" t="s">
        <v>21</v>
      </c>
      <c r="B9" s="7">
        <v>45410</v>
      </c>
      <c r="C9" s="6">
        <v>2024</v>
      </c>
      <c r="D9" s="6" t="s">
        <v>10</v>
      </c>
      <c r="E9" s="6" t="s">
        <v>9</v>
      </c>
      <c r="F9" s="8" t="s">
        <v>11</v>
      </c>
      <c r="G9" s="6" t="s">
        <v>10</v>
      </c>
    </row>
    <row r="10" spans="1:7" ht="16.5" x14ac:dyDescent="0.3">
      <c r="A10" s="3" t="s">
        <v>22</v>
      </c>
      <c r="B10" s="4">
        <v>45419</v>
      </c>
      <c r="C10" s="3">
        <v>2024</v>
      </c>
      <c r="D10" s="3" t="s">
        <v>23</v>
      </c>
      <c r="E10" s="3" t="s">
        <v>14</v>
      </c>
      <c r="F10" s="5" t="s">
        <v>11</v>
      </c>
      <c r="G10" s="3" t="s">
        <v>23</v>
      </c>
    </row>
    <row r="11" spans="1:7" ht="16.5" x14ac:dyDescent="0.3">
      <c r="A11" s="6" t="s">
        <v>24</v>
      </c>
      <c r="B11" s="7">
        <v>45396</v>
      </c>
      <c r="C11" s="6">
        <v>2024</v>
      </c>
      <c r="D11" s="6" t="s">
        <v>18</v>
      </c>
      <c r="E11" s="6" t="s">
        <v>17</v>
      </c>
      <c r="F11" s="8" t="s">
        <v>25</v>
      </c>
      <c r="G11" s="6" t="s">
        <v>18</v>
      </c>
    </row>
    <row r="12" spans="1:7" ht="16.5" x14ac:dyDescent="0.3">
      <c r="A12" s="3" t="s">
        <v>26</v>
      </c>
      <c r="B12" s="4">
        <v>45379</v>
      </c>
      <c r="C12" s="3">
        <v>2024</v>
      </c>
      <c r="D12" s="3" t="s">
        <v>23</v>
      </c>
      <c r="E12" s="3" t="s">
        <v>13</v>
      </c>
      <c r="F12" s="5" t="s">
        <v>11</v>
      </c>
      <c r="G12" s="3" t="s">
        <v>13</v>
      </c>
    </row>
    <row r="13" spans="1:7" ht="16.5" x14ac:dyDescent="0.3">
      <c r="A13" s="6" t="s">
        <v>27</v>
      </c>
      <c r="B13" s="7">
        <v>45393</v>
      </c>
      <c r="C13" s="6">
        <v>2024</v>
      </c>
      <c r="D13" s="6" t="s">
        <v>28</v>
      </c>
      <c r="E13" s="6" t="s">
        <v>18</v>
      </c>
      <c r="F13" s="8" t="s">
        <v>15</v>
      </c>
      <c r="G13" s="6" t="s">
        <v>18</v>
      </c>
    </row>
    <row r="14" spans="1:7" ht="16.5" x14ac:dyDescent="0.3">
      <c r="A14" s="3" t="s">
        <v>29</v>
      </c>
      <c r="B14" s="4">
        <v>45423</v>
      </c>
      <c r="C14" s="3">
        <v>2024</v>
      </c>
      <c r="D14" s="3" t="s">
        <v>9</v>
      </c>
      <c r="E14" s="3" t="s">
        <v>23</v>
      </c>
      <c r="F14" s="5" t="s">
        <v>30</v>
      </c>
      <c r="G14" s="3" t="s">
        <v>9</v>
      </c>
    </row>
    <row r="15" spans="1:7" ht="16.5" x14ac:dyDescent="0.3">
      <c r="A15" s="6" t="s">
        <v>31</v>
      </c>
      <c r="B15" s="7">
        <v>45432</v>
      </c>
      <c r="C15" s="6">
        <v>2024</v>
      </c>
      <c r="D15" s="6" t="s">
        <v>17</v>
      </c>
      <c r="E15" s="6" t="s">
        <v>14</v>
      </c>
      <c r="F15" s="8" t="s">
        <v>32</v>
      </c>
      <c r="G15" s="6" t="s">
        <v>14</v>
      </c>
    </row>
    <row r="16" spans="1:7" ht="16.5" x14ac:dyDescent="0.3">
      <c r="A16" s="3" t="s">
        <v>33</v>
      </c>
      <c r="B16" s="4">
        <v>45381</v>
      </c>
      <c r="C16" s="3">
        <v>2024</v>
      </c>
      <c r="D16" s="3" t="s">
        <v>18</v>
      </c>
      <c r="E16" s="3" t="s">
        <v>23</v>
      </c>
      <c r="F16" s="5" t="s">
        <v>25</v>
      </c>
      <c r="G16" s="3" t="s">
        <v>23</v>
      </c>
    </row>
    <row r="17" spans="1:7" ht="16.5" x14ac:dyDescent="0.3">
      <c r="A17" s="6" t="s">
        <v>34</v>
      </c>
      <c r="B17" s="7">
        <v>45417</v>
      </c>
      <c r="C17" s="6">
        <v>2024</v>
      </c>
      <c r="D17" s="6" t="s">
        <v>9</v>
      </c>
      <c r="E17" s="6" t="s">
        <v>14</v>
      </c>
      <c r="F17" s="8" t="s">
        <v>11</v>
      </c>
      <c r="G17" s="6" t="s">
        <v>9</v>
      </c>
    </row>
    <row r="18" spans="1:7" ht="16.5" x14ac:dyDescent="0.3">
      <c r="A18" s="3" t="s">
        <v>35</v>
      </c>
      <c r="B18" s="4">
        <v>45400</v>
      </c>
      <c r="C18" s="3">
        <v>2024</v>
      </c>
      <c r="D18" s="3" t="s">
        <v>10</v>
      </c>
      <c r="E18" s="3" t="s">
        <v>9</v>
      </c>
      <c r="F18" s="5" t="s">
        <v>30</v>
      </c>
      <c r="G18" s="3" t="s">
        <v>9</v>
      </c>
    </row>
    <row r="19" spans="1:7" ht="16.5" x14ac:dyDescent="0.3">
      <c r="A19" s="6" t="s">
        <v>36</v>
      </c>
      <c r="B19" s="7">
        <v>45421</v>
      </c>
      <c r="C19" s="6">
        <v>2024</v>
      </c>
      <c r="D19" s="6" t="s">
        <v>23</v>
      </c>
      <c r="E19" s="6" t="s">
        <v>17</v>
      </c>
      <c r="F19" s="8" t="s">
        <v>32</v>
      </c>
      <c r="G19" s="6" t="s">
        <v>17</v>
      </c>
    </row>
    <row r="20" spans="1:7" ht="16.5" x14ac:dyDescent="0.3">
      <c r="A20" s="3" t="s">
        <v>37</v>
      </c>
      <c r="B20" s="4">
        <v>45416</v>
      </c>
      <c r="C20" s="3">
        <v>2024</v>
      </c>
      <c r="D20" s="3" t="s">
        <v>9</v>
      </c>
      <c r="E20" s="3" t="s">
        <v>13</v>
      </c>
      <c r="F20" s="5" t="s">
        <v>30</v>
      </c>
      <c r="G20" s="3" t="s">
        <v>13</v>
      </c>
    </row>
    <row r="21" spans="1:7" ht="16.5" x14ac:dyDescent="0.3">
      <c r="A21" s="6" t="s">
        <v>38</v>
      </c>
      <c r="B21" s="7">
        <v>45421</v>
      </c>
      <c r="C21" s="6">
        <v>2024</v>
      </c>
      <c r="D21" s="6" t="s">
        <v>10</v>
      </c>
      <c r="E21" s="6" t="s">
        <v>28</v>
      </c>
      <c r="F21" s="8" t="s">
        <v>30</v>
      </c>
      <c r="G21" s="6" t="s">
        <v>28</v>
      </c>
    </row>
    <row r="22" spans="1:7" ht="16.5" x14ac:dyDescent="0.3">
      <c r="A22" s="3" t="s">
        <v>39</v>
      </c>
      <c r="B22" s="4">
        <v>45383</v>
      </c>
      <c r="C22" s="3">
        <v>2024</v>
      </c>
      <c r="D22" s="3" t="s">
        <v>14</v>
      </c>
      <c r="E22" s="3" t="s">
        <v>10</v>
      </c>
      <c r="F22" s="5" t="s">
        <v>25</v>
      </c>
      <c r="G22" s="3" t="s">
        <v>14</v>
      </c>
    </row>
    <row r="23" spans="1:7" ht="16.5" x14ac:dyDescent="0.3">
      <c r="A23" s="6" t="s">
        <v>40</v>
      </c>
      <c r="B23" s="7">
        <v>45396</v>
      </c>
      <c r="C23" s="6">
        <v>2024</v>
      </c>
      <c r="D23" s="6" t="s">
        <v>10</v>
      </c>
      <c r="E23" s="6" t="s">
        <v>28</v>
      </c>
      <c r="F23" s="8" t="s">
        <v>11</v>
      </c>
      <c r="G23" s="6" t="s">
        <v>10</v>
      </c>
    </row>
    <row r="24" spans="1:7" ht="16.5" x14ac:dyDescent="0.3">
      <c r="A24" s="3" t="s">
        <v>41</v>
      </c>
      <c r="B24" s="4">
        <v>45427</v>
      </c>
      <c r="C24" s="3">
        <v>2024</v>
      </c>
      <c r="D24" s="3" t="s">
        <v>17</v>
      </c>
      <c r="E24" s="3" t="s">
        <v>10</v>
      </c>
      <c r="F24" s="5" t="s">
        <v>30</v>
      </c>
      <c r="G24" s="3" t="s">
        <v>17</v>
      </c>
    </row>
    <row r="25" spans="1:7" ht="16.5" x14ac:dyDescent="0.3">
      <c r="A25" s="6" t="s">
        <v>42</v>
      </c>
      <c r="B25" s="7">
        <v>45405</v>
      </c>
      <c r="C25" s="6">
        <v>2024</v>
      </c>
      <c r="D25" s="6" t="s">
        <v>10</v>
      </c>
      <c r="E25" s="6" t="s">
        <v>18</v>
      </c>
      <c r="F25" s="8" t="s">
        <v>32</v>
      </c>
      <c r="G25" s="6" t="s">
        <v>10</v>
      </c>
    </row>
    <row r="26" spans="1:7" ht="16.5" x14ac:dyDescent="0.3">
      <c r="A26" s="3" t="s">
        <v>43</v>
      </c>
      <c r="B26" s="4">
        <v>45379</v>
      </c>
      <c r="C26" s="3">
        <v>2024</v>
      </c>
      <c r="D26" s="3" t="s">
        <v>13</v>
      </c>
      <c r="E26" s="3" t="s">
        <v>14</v>
      </c>
      <c r="F26" s="5" t="s">
        <v>25</v>
      </c>
      <c r="G26" s="3" t="s">
        <v>13</v>
      </c>
    </row>
    <row r="27" spans="1:7" ht="16.5" x14ac:dyDescent="0.3">
      <c r="A27" s="6" t="s">
        <v>44</v>
      </c>
      <c r="B27" s="7">
        <v>45422</v>
      </c>
      <c r="C27" s="6">
        <v>2024</v>
      </c>
      <c r="D27" s="6" t="s">
        <v>23</v>
      </c>
      <c r="E27" s="6" t="s">
        <v>14</v>
      </c>
      <c r="F27" s="8" t="s">
        <v>15</v>
      </c>
      <c r="G27" s="6" t="s">
        <v>14</v>
      </c>
    </row>
    <row r="28" spans="1:7" ht="16.5" x14ac:dyDescent="0.3">
      <c r="A28" s="3" t="s">
        <v>45</v>
      </c>
      <c r="B28" s="4">
        <v>45399</v>
      </c>
      <c r="C28" s="3">
        <v>2024</v>
      </c>
      <c r="D28" s="3" t="s">
        <v>9</v>
      </c>
      <c r="E28" s="3" t="s">
        <v>28</v>
      </c>
      <c r="F28" s="5" t="s">
        <v>15</v>
      </c>
      <c r="G28" s="3" t="s">
        <v>9</v>
      </c>
    </row>
    <row r="29" spans="1:7" ht="16.5" x14ac:dyDescent="0.3">
      <c r="A29" s="6" t="s">
        <v>46</v>
      </c>
      <c r="B29" s="7">
        <v>45792</v>
      </c>
      <c r="C29" s="6">
        <v>2025</v>
      </c>
      <c r="D29" s="6" t="s">
        <v>14</v>
      </c>
      <c r="E29" s="6" t="s">
        <v>23</v>
      </c>
      <c r="F29" s="8" t="s">
        <v>32</v>
      </c>
      <c r="G29" s="6" t="s">
        <v>23</v>
      </c>
    </row>
    <row r="30" spans="1:7" ht="16.5" x14ac:dyDescent="0.3">
      <c r="A30" s="3" t="s">
        <v>47</v>
      </c>
      <c r="B30" s="4">
        <v>45741</v>
      </c>
      <c r="C30" s="3">
        <v>2025</v>
      </c>
      <c r="D30" s="3" t="s">
        <v>14</v>
      </c>
      <c r="E30" s="3" t="s">
        <v>9</v>
      </c>
      <c r="F30" s="5" t="s">
        <v>11</v>
      </c>
      <c r="G30" s="3" t="s">
        <v>14</v>
      </c>
    </row>
    <row r="31" spans="1:7" ht="16.5" x14ac:dyDescent="0.3">
      <c r="A31" s="6" t="s">
        <v>48</v>
      </c>
      <c r="B31" s="7">
        <v>45749</v>
      </c>
      <c r="C31" s="6">
        <v>2025</v>
      </c>
      <c r="D31" s="6" t="s">
        <v>23</v>
      </c>
      <c r="E31" s="6" t="s">
        <v>28</v>
      </c>
      <c r="F31" s="8" t="s">
        <v>15</v>
      </c>
      <c r="G31" s="6" t="s">
        <v>23</v>
      </c>
    </row>
    <row r="32" spans="1:7" ht="16.5" x14ac:dyDescent="0.3">
      <c r="A32" s="3" t="s">
        <v>49</v>
      </c>
      <c r="B32" s="4">
        <v>45749</v>
      </c>
      <c r="C32" s="3">
        <v>2025</v>
      </c>
      <c r="D32" s="3" t="s">
        <v>13</v>
      </c>
      <c r="E32" s="3" t="s">
        <v>10</v>
      </c>
      <c r="F32" s="5" t="s">
        <v>15</v>
      </c>
      <c r="G32" s="3" t="s">
        <v>10</v>
      </c>
    </row>
    <row r="33" spans="1:7" ht="16.5" x14ac:dyDescent="0.3">
      <c r="A33" s="6" t="s">
        <v>50</v>
      </c>
      <c r="B33" s="7">
        <v>45740</v>
      </c>
      <c r="C33" s="6">
        <v>2025</v>
      </c>
      <c r="D33" s="6" t="s">
        <v>28</v>
      </c>
      <c r="E33" s="6" t="s">
        <v>18</v>
      </c>
      <c r="F33" s="8" t="s">
        <v>30</v>
      </c>
      <c r="G33" s="6" t="s">
        <v>18</v>
      </c>
    </row>
    <row r="34" spans="1:7" ht="16.5" x14ac:dyDescent="0.3">
      <c r="A34" s="3" t="s">
        <v>51</v>
      </c>
      <c r="B34" s="4">
        <v>45772</v>
      </c>
      <c r="C34" s="3">
        <v>2025</v>
      </c>
      <c r="D34" s="3" t="s">
        <v>13</v>
      </c>
      <c r="E34" s="3" t="s">
        <v>23</v>
      </c>
      <c r="F34" s="5" t="s">
        <v>30</v>
      </c>
      <c r="G34" s="3" t="s">
        <v>23</v>
      </c>
    </row>
    <row r="35" spans="1:7" ht="16.5" x14ac:dyDescent="0.3">
      <c r="A35" s="6" t="s">
        <v>52</v>
      </c>
      <c r="B35" s="7">
        <v>45751</v>
      </c>
      <c r="C35" s="6">
        <v>2025</v>
      </c>
      <c r="D35" s="6" t="s">
        <v>9</v>
      </c>
      <c r="E35" s="6" t="s">
        <v>10</v>
      </c>
      <c r="F35" s="8" t="s">
        <v>30</v>
      </c>
      <c r="G35" s="6" t="s">
        <v>9</v>
      </c>
    </row>
    <row r="36" spans="1:7" ht="16.5" x14ac:dyDescent="0.3">
      <c r="A36" s="3" t="s">
        <v>53</v>
      </c>
      <c r="B36" s="4">
        <v>45783</v>
      </c>
      <c r="C36" s="3">
        <v>2025</v>
      </c>
      <c r="D36" s="3" t="s">
        <v>18</v>
      </c>
      <c r="E36" s="3" t="s">
        <v>23</v>
      </c>
      <c r="F36" s="5" t="s">
        <v>11</v>
      </c>
      <c r="G36" s="3" t="s">
        <v>23</v>
      </c>
    </row>
    <row r="37" spans="1:7" ht="16.5" x14ac:dyDescent="0.3">
      <c r="A37" s="6" t="s">
        <v>54</v>
      </c>
      <c r="B37" s="7">
        <v>45766</v>
      </c>
      <c r="C37" s="6">
        <v>2025</v>
      </c>
      <c r="D37" s="6" t="s">
        <v>10</v>
      </c>
      <c r="E37" s="6" t="s">
        <v>13</v>
      </c>
      <c r="F37" s="8" t="s">
        <v>32</v>
      </c>
      <c r="G37" s="6" t="s">
        <v>13</v>
      </c>
    </row>
    <row r="38" spans="1:7" ht="16.5" x14ac:dyDescent="0.3">
      <c r="A38" s="3" t="s">
        <v>55</v>
      </c>
      <c r="B38" s="4">
        <v>45741</v>
      </c>
      <c r="C38" s="3">
        <v>2025</v>
      </c>
      <c r="D38" s="3" t="s">
        <v>9</v>
      </c>
      <c r="E38" s="3" t="s">
        <v>28</v>
      </c>
      <c r="F38" s="5" t="s">
        <v>15</v>
      </c>
      <c r="G38" s="3" t="s">
        <v>28</v>
      </c>
    </row>
    <row r="39" spans="1:7" ht="16.5" x14ac:dyDescent="0.3">
      <c r="A39" s="6" t="s">
        <v>56</v>
      </c>
      <c r="B39" s="7">
        <v>45760</v>
      </c>
      <c r="C39" s="6">
        <v>2025</v>
      </c>
      <c r="D39" s="6" t="s">
        <v>9</v>
      </c>
      <c r="E39" s="6" t="s">
        <v>28</v>
      </c>
      <c r="F39" s="8" t="s">
        <v>30</v>
      </c>
      <c r="G39" s="6" t="s">
        <v>9</v>
      </c>
    </row>
    <row r="40" spans="1:7" ht="16.5" x14ac:dyDescent="0.3">
      <c r="A40" s="3" t="s">
        <v>57</v>
      </c>
      <c r="B40" s="4">
        <v>45739</v>
      </c>
      <c r="C40" s="3">
        <v>2025</v>
      </c>
      <c r="D40" s="3" t="s">
        <v>18</v>
      </c>
      <c r="E40" s="3" t="s">
        <v>10</v>
      </c>
      <c r="F40" s="5" t="s">
        <v>25</v>
      </c>
      <c r="G40" s="3" t="s">
        <v>10</v>
      </c>
    </row>
    <row r="41" spans="1:7" ht="16.5" x14ac:dyDescent="0.3">
      <c r="A41" s="6" t="s">
        <v>58</v>
      </c>
      <c r="B41" s="7">
        <v>45794</v>
      </c>
      <c r="C41" s="6">
        <v>2025</v>
      </c>
      <c r="D41" s="6" t="s">
        <v>13</v>
      </c>
      <c r="E41" s="6" t="s">
        <v>17</v>
      </c>
      <c r="F41" s="8" t="s">
        <v>11</v>
      </c>
      <c r="G41" s="6" t="s">
        <v>17</v>
      </c>
    </row>
    <row r="42" spans="1:7" ht="16.5" x14ac:dyDescent="0.3">
      <c r="A42" s="3" t="s">
        <v>59</v>
      </c>
      <c r="B42" s="4">
        <v>45781</v>
      </c>
      <c r="C42" s="3">
        <v>2025</v>
      </c>
      <c r="D42" s="3" t="s">
        <v>13</v>
      </c>
      <c r="E42" s="3" t="s">
        <v>14</v>
      </c>
      <c r="F42" s="5" t="s">
        <v>25</v>
      </c>
      <c r="G42" s="3" t="s">
        <v>13</v>
      </c>
    </row>
    <row r="43" spans="1:7" ht="16.5" x14ac:dyDescent="0.3">
      <c r="A43" s="6" t="s">
        <v>60</v>
      </c>
      <c r="B43" s="7">
        <v>45784</v>
      </c>
      <c r="C43" s="6">
        <v>2025</v>
      </c>
      <c r="D43" s="6" t="s">
        <v>10</v>
      </c>
      <c r="E43" s="6" t="s">
        <v>28</v>
      </c>
      <c r="F43" s="8" t="s">
        <v>32</v>
      </c>
      <c r="G43" s="6" t="s">
        <v>10</v>
      </c>
    </row>
    <row r="44" spans="1:7" ht="16.5" x14ac:dyDescent="0.3">
      <c r="A44" s="3" t="s">
        <v>61</v>
      </c>
      <c r="B44" s="4">
        <v>45775</v>
      </c>
      <c r="C44" s="3">
        <v>2025</v>
      </c>
      <c r="D44" s="3" t="s">
        <v>17</v>
      </c>
      <c r="E44" s="3" t="s">
        <v>13</v>
      </c>
      <c r="F44" s="5" t="s">
        <v>15</v>
      </c>
      <c r="G44" s="3" t="s">
        <v>13</v>
      </c>
    </row>
    <row r="45" spans="1:7" ht="16.5" x14ac:dyDescent="0.3">
      <c r="A45" s="6" t="s">
        <v>62</v>
      </c>
      <c r="B45" s="7">
        <v>45756</v>
      </c>
      <c r="C45" s="6">
        <v>2025</v>
      </c>
      <c r="D45" s="6" t="s">
        <v>10</v>
      </c>
      <c r="E45" s="6" t="s">
        <v>18</v>
      </c>
      <c r="F45" s="8" t="s">
        <v>30</v>
      </c>
      <c r="G45" s="6" t="s">
        <v>18</v>
      </c>
    </row>
    <row r="46" spans="1:7" ht="16.5" x14ac:dyDescent="0.3">
      <c r="A46" s="3" t="s">
        <v>63</v>
      </c>
      <c r="B46" s="4">
        <v>45796</v>
      </c>
      <c r="C46" s="3">
        <v>2025</v>
      </c>
      <c r="D46" s="3" t="s">
        <v>28</v>
      </c>
      <c r="E46" s="3" t="s">
        <v>9</v>
      </c>
      <c r="F46" s="5" t="s">
        <v>30</v>
      </c>
      <c r="G46" s="3" t="s">
        <v>28</v>
      </c>
    </row>
    <row r="47" spans="1:7" ht="16.5" x14ac:dyDescent="0.3">
      <c r="A47" s="6" t="s">
        <v>64</v>
      </c>
      <c r="B47" s="7">
        <v>45794</v>
      </c>
      <c r="C47" s="6">
        <v>2025</v>
      </c>
      <c r="D47" s="6" t="s">
        <v>13</v>
      </c>
      <c r="E47" s="6" t="s">
        <v>14</v>
      </c>
      <c r="F47" s="8" t="s">
        <v>25</v>
      </c>
      <c r="G47" s="6" t="s">
        <v>14</v>
      </c>
    </row>
    <row r="48" spans="1:7" ht="16.5" x14ac:dyDescent="0.3">
      <c r="A48" s="3" t="s">
        <v>65</v>
      </c>
      <c r="B48" s="4">
        <v>45791</v>
      </c>
      <c r="C48" s="3">
        <v>2025</v>
      </c>
      <c r="D48" s="3" t="s">
        <v>13</v>
      </c>
      <c r="E48" s="3" t="s">
        <v>14</v>
      </c>
      <c r="F48" s="5" t="s">
        <v>11</v>
      </c>
      <c r="G48" s="3" t="s">
        <v>14</v>
      </c>
    </row>
    <row r="49" spans="1:7" ht="16.5" x14ac:dyDescent="0.3">
      <c r="A49" s="6" t="s">
        <v>66</v>
      </c>
      <c r="B49" s="7">
        <v>45797</v>
      </c>
      <c r="C49" s="6">
        <v>2025</v>
      </c>
      <c r="D49" s="6" t="s">
        <v>10</v>
      </c>
      <c r="E49" s="6" t="s">
        <v>9</v>
      </c>
      <c r="F49" s="8" t="s">
        <v>30</v>
      </c>
      <c r="G49" s="6" t="s">
        <v>9</v>
      </c>
    </row>
    <row r="50" spans="1:7" ht="16.5" x14ac:dyDescent="0.3">
      <c r="A50" s="3" t="s">
        <v>67</v>
      </c>
      <c r="B50" s="4">
        <v>45761</v>
      </c>
      <c r="C50" s="3">
        <v>2025</v>
      </c>
      <c r="D50" s="3" t="s">
        <v>13</v>
      </c>
      <c r="E50" s="3" t="s">
        <v>28</v>
      </c>
      <c r="F50" s="5" t="s">
        <v>32</v>
      </c>
      <c r="G50" s="3" t="s">
        <v>13</v>
      </c>
    </row>
    <row r="51" spans="1:7" ht="16.5" x14ac:dyDescent="0.3">
      <c r="A51" s="6" t="s">
        <v>68</v>
      </c>
      <c r="B51" s="7">
        <v>45754</v>
      </c>
      <c r="C51" s="6">
        <v>2025</v>
      </c>
      <c r="D51" s="6" t="s">
        <v>23</v>
      </c>
      <c r="E51" s="6" t="s">
        <v>14</v>
      </c>
      <c r="F51" s="8" t="s">
        <v>25</v>
      </c>
      <c r="G51" s="6" t="s">
        <v>23</v>
      </c>
    </row>
    <row r="52" spans="1:7" ht="16.5" x14ac:dyDescent="0.3">
      <c r="A52" s="3" t="s">
        <v>69</v>
      </c>
      <c r="B52" s="4">
        <v>45768</v>
      </c>
      <c r="C52" s="3">
        <v>2025</v>
      </c>
      <c r="D52" s="3" t="s">
        <v>14</v>
      </c>
      <c r="E52" s="3" t="s">
        <v>9</v>
      </c>
      <c r="F52" s="5" t="s">
        <v>15</v>
      </c>
      <c r="G52" s="3" t="s">
        <v>9</v>
      </c>
    </row>
    <row r="53" spans="1:7" ht="16.5" x14ac:dyDescent="0.3">
      <c r="A53" s="6" t="s">
        <v>70</v>
      </c>
      <c r="B53" s="7">
        <v>45751</v>
      </c>
      <c r="C53" s="6">
        <v>2025</v>
      </c>
      <c r="D53" s="6" t="s">
        <v>13</v>
      </c>
      <c r="E53" s="6" t="s">
        <v>23</v>
      </c>
      <c r="F53" s="8" t="s">
        <v>15</v>
      </c>
      <c r="G53" s="6" t="s">
        <v>23</v>
      </c>
    </row>
    <row r="54" spans="1:7" ht="16.5" x14ac:dyDescent="0.3">
      <c r="A54" s="3" t="s">
        <v>71</v>
      </c>
      <c r="B54" s="4">
        <v>46155</v>
      </c>
      <c r="C54" s="3">
        <v>2026</v>
      </c>
      <c r="D54" s="3" t="s">
        <v>13</v>
      </c>
      <c r="E54" s="3" t="s">
        <v>9</v>
      </c>
      <c r="F54" s="5" t="s">
        <v>11</v>
      </c>
      <c r="G54" s="3" t="s">
        <v>9</v>
      </c>
    </row>
    <row r="55" spans="1:7" ht="16.5" x14ac:dyDescent="0.3">
      <c r="A55" s="6" t="s">
        <v>72</v>
      </c>
      <c r="B55" s="7">
        <v>46104</v>
      </c>
      <c r="C55" s="6">
        <v>2026</v>
      </c>
      <c r="D55" s="6" t="s">
        <v>18</v>
      </c>
      <c r="E55" s="6" t="s">
        <v>14</v>
      </c>
      <c r="F55" s="8" t="s">
        <v>25</v>
      </c>
      <c r="G55" s="6" t="s">
        <v>14</v>
      </c>
    </row>
    <row r="56" spans="1:7" ht="16.5" x14ac:dyDescent="0.3">
      <c r="A56" s="3" t="s">
        <v>73</v>
      </c>
      <c r="B56" s="4">
        <v>46131</v>
      </c>
      <c r="C56" s="3">
        <v>2026</v>
      </c>
      <c r="D56" s="3" t="s">
        <v>10</v>
      </c>
      <c r="E56" s="3" t="s">
        <v>14</v>
      </c>
      <c r="F56" s="5" t="s">
        <v>25</v>
      </c>
      <c r="G56" s="3" t="s">
        <v>10</v>
      </c>
    </row>
    <row r="57" spans="1:7" ht="16.5" x14ac:dyDescent="0.3">
      <c r="A57" s="6" t="s">
        <v>74</v>
      </c>
      <c r="B57" s="7">
        <v>46105</v>
      </c>
      <c r="C57" s="6">
        <v>2026</v>
      </c>
      <c r="D57" s="6" t="s">
        <v>13</v>
      </c>
      <c r="E57" s="6" t="s">
        <v>10</v>
      </c>
      <c r="F57" s="8" t="s">
        <v>30</v>
      </c>
      <c r="G57" s="6" t="s">
        <v>13</v>
      </c>
    </row>
    <row r="58" spans="1:7" ht="16.5" x14ac:dyDescent="0.3">
      <c r="A58" s="3" t="s">
        <v>75</v>
      </c>
      <c r="B58" s="4">
        <v>46129</v>
      </c>
      <c r="C58" s="3">
        <v>2026</v>
      </c>
      <c r="D58" s="3" t="s">
        <v>13</v>
      </c>
      <c r="E58" s="3" t="s">
        <v>28</v>
      </c>
      <c r="F58" s="5" t="s">
        <v>15</v>
      </c>
      <c r="G58" s="3" t="s">
        <v>28</v>
      </c>
    </row>
    <row r="59" spans="1:7" ht="16.5" x14ac:dyDescent="0.3">
      <c r="A59" s="6" t="s">
        <v>76</v>
      </c>
      <c r="B59" s="7">
        <v>46108</v>
      </c>
      <c r="C59" s="6">
        <v>2026</v>
      </c>
      <c r="D59" s="6" t="s">
        <v>14</v>
      </c>
      <c r="E59" s="6" t="s">
        <v>13</v>
      </c>
      <c r="F59" s="8" t="s">
        <v>11</v>
      </c>
      <c r="G59" s="6" t="s">
        <v>13</v>
      </c>
    </row>
    <row r="60" spans="1:7" ht="16.5" x14ac:dyDescent="0.3">
      <c r="A60" s="3" t="s">
        <v>77</v>
      </c>
      <c r="B60" s="4">
        <v>46126</v>
      </c>
      <c r="C60" s="3">
        <v>2026</v>
      </c>
      <c r="D60" s="3" t="s">
        <v>17</v>
      </c>
      <c r="E60" s="3" t="s">
        <v>18</v>
      </c>
      <c r="F60" s="5" t="s">
        <v>25</v>
      </c>
      <c r="G60" s="3" t="s">
        <v>18</v>
      </c>
    </row>
    <row r="61" spans="1:7" ht="16.5" x14ac:dyDescent="0.3">
      <c r="A61" s="6" t="s">
        <v>78</v>
      </c>
      <c r="B61" s="7">
        <v>46112</v>
      </c>
      <c r="C61" s="6">
        <v>2026</v>
      </c>
      <c r="D61" s="6" t="s">
        <v>13</v>
      </c>
      <c r="E61" s="6" t="s">
        <v>10</v>
      </c>
      <c r="F61" s="8" t="s">
        <v>30</v>
      </c>
      <c r="G61" s="6" t="s">
        <v>10</v>
      </c>
    </row>
    <row r="62" spans="1:7" ht="16.5" x14ac:dyDescent="0.3">
      <c r="A62" s="3" t="s">
        <v>79</v>
      </c>
      <c r="B62" s="4">
        <v>46128</v>
      </c>
      <c r="C62" s="3">
        <v>2026</v>
      </c>
      <c r="D62" s="3" t="s">
        <v>13</v>
      </c>
      <c r="E62" s="3" t="s">
        <v>10</v>
      </c>
      <c r="F62" s="5" t="s">
        <v>32</v>
      </c>
      <c r="G62" s="3" t="s">
        <v>13</v>
      </c>
    </row>
    <row r="63" spans="1:7" ht="16.5" x14ac:dyDescent="0.3">
      <c r="A63" s="6" t="s">
        <v>80</v>
      </c>
      <c r="B63" s="7">
        <v>46135</v>
      </c>
      <c r="C63" s="6">
        <v>2026</v>
      </c>
      <c r="D63" s="6" t="s">
        <v>13</v>
      </c>
      <c r="E63" s="6" t="s">
        <v>14</v>
      </c>
      <c r="F63" s="8" t="s">
        <v>11</v>
      </c>
      <c r="G63" s="6" t="s">
        <v>14</v>
      </c>
    </row>
    <row r="64" spans="1:7" ht="16.5" x14ac:dyDescent="0.3">
      <c r="A64" s="3" t="s">
        <v>81</v>
      </c>
      <c r="B64" s="4">
        <v>46113</v>
      </c>
      <c r="C64" s="3">
        <v>2026</v>
      </c>
      <c r="D64" s="3" t="s">
        <v>23</v>
      </c>
      <c r="E64" s="3" t="s">
        <v>10</v>
      </c>
      <c r="F64" s="5" t="s">
        <v>30</v>
      </c>
      <c r="G64" s="3" t="s">
        <v>10</v>
      </c>
    </row>
    <row r="65" spans="1:7" ht="16.5" x14ac:dyDescent="0.3">
      <c r="A65" s="6" t="s">
        <v>82</v>
      </c>
      <c r="B65" s="7">
        <v>46125</v>
      </c>
      <c r="C65" s="6">
        <v>2026</v>
      </c>
      <c r="D65" s="6" t="s">
        <v>13</v>
      </c>
      <c r="E65" s="6" t="s">
        <v>18</v>
      </c>
      <c r="F65" s="8" t="s">
        <v>30</v>
      </c>
      <c r="G65" s="6" t="s">
        <v>13</v>
      </c>
    </row>
    <row r="66" spans="1:7" ht="16.5" x14ac:dyDescent="0.3">
      <c r="A66" s="3" t="s">
        <v>83</v>
      </c>
      <c r="B66" s="4">
        <v>46125</v>
      </c>
      <c r="C66" s="3">
        <v>2026</v>
      </c>
      <c r="D66" s="3" t="s">
        <v>18</v>
      </c>
      <c r="E66" s="3" t="s">
        <v>10</v>
      </c>
      <c r="F66" s="5" t="s">
        <v>30</v>
      </c>
      <c r="G66" s="3" t="s">
        <v>18</v>
      </c>
    </row>
    <row r="67" spans="1:7" ht="16.5" x14ac:dyDescent="0.3">
      <c r="A67" s="6" t="s">
        <v>84</v>
      </c>
      <c r="B67" s="7">
        <v>46151</v>
      </c>
      <c r="C67" s="6">
        <v>2026</v>
      </c>
      <c r="D67" s="6" t="s">
        <v>10</v>
      </c>
      <c r="E67" s="6" t="s">
        <v>13</v>
      </c>
      <c r="F67" s="8" t="s">
        <v>30</v>
      </c>
      <c r="G67" s="6" t="s">
        <v>10</v>
      </c>
    </row>
    <row r="68" spans="1:7" ht="16.5" x14ac:dyDescent="0.3">
      <c r="A68" s="3" t="s">
        <v>85</v>
      </c>
      <c r="B68" s="4">
        <v>46107</v>
      </c>
      <c r="C68" s="3">
        <v>2026</v>
      </c>
      <c r="D68" s="3" t="s">
        <v>28</v>
      </c>
      <c r="E68" s="3" t="s">
        <v>13</v>
      </c>
      <c r="F68" s="5" t="s">
        <v>11</v>
      </c>
      <c r="G68" s="3" t="s">
        <v>28</v>
      </c>
    </row>
    <row r="69" spans="1:7" ht="16.5" x14ac:dyDescent="0.3">
      <c r="A69" s="6" t="s">
        <v>86</v>
      </c>
      <c r="B69" s="7">
        <v>46137</v>
      </c>
      <c r="C69" s="6">
        <v>2026</v>
      </c>
      <c r="D69" s="6" t="s">
        <v>18</v>
      </c>
      <c r="E69" s="6" t="s">
        <v>14</v>
      </c>
      <c r="F69" s="8" t="s">
        <v>15</v>
      </c>
      <c r="G69" s="6" t="s">
        <v>18</v>
      </c>
    </row>
    <row r="70" spans="1:7" ht="16.5" x14ac:dyDescent="0.3">
      <c r="A70" s="3" t="s">
        <v>87</v>
      </c>
      <c r="B70" s="4">
        <v>46103</v>
      </c>
      <c r="C70" s="3">
        <v>2026</v>
      </c>
      <c r="D70" s="3" t="s">
        <v>18</v>
      </c>
      <c r="E70" s="3" t="s">
        <v>17</v>
      </c>
      <c r="F70" s="5" t="s">
        <v>30</v>
      </c>
      <c r="G70" s="3" t="s">
        <v>18</v>
      </c>
    </row>
    <row r="71" spans="1:7" ht="16.5" x14ac:dyDescent="0.3">
      <c r="A71" s="6" t="s">
        <v>88</v>
      </c>
      <c r="B71" s="7">
        <v>46105</v>
      </c>
      <c r="C71" s="6">
        <v>2026</v>
      </c>
      <c r="D71" s="6" t="s">
        <v>9</v>
      </c>
      <c r="E71" s="6" t="s">
        <v>28</v>
      </c>
      <c r="F71" s="8" t="s">
        <v>32</v>
      </c>
      <c r="G71" s="6" t="s">
        <v>9</v>
      </c>
    </row>
    <row r="72" spans="1:7" ht="16.5" x14ac:dyDescent="0.3">
      <c r="A72" s="3" t="s">
        <v>89</v>
      </c>
      <c r="B72" s="4">
        <v>46145</v>
      </c>
      <c r="C72" s="3">
        <v>2026</v>
      </c>
      <c r="D72" s="3" t="s">
        <v>18</v>
      </c>
      <c r="E72" s="3" t="s">
        <v>10</v>
      </c>
      <c r="F72" s="5" t="s">
        <v>32</v>
      </c>
      <c r="G72" s="3" t="s">
        <v>18</v>
      </c>
    </row>
    <row r="73" spans="1:7" ht="16.5" x14ac:dyDescent="0.3">
      <c r="A73" s="6" t="s">
        <v>90</v>
      </c>
      <c r="B73" s="7">
        <v>46138</v>
      </c>
      <c r="C73" s="6">
        <v>2026</v>
      </c>
      <c r="D73" s="6" t="s">
        <v>17</v>
      </c>
      <c r="E73" s="6" t="s">
        <v>28</v>
      </c>
      <c r="F73" s="8" t="s">
        <v>32</v>
      </c>
      <c r="G73" s="6" t="s">
        <v>17</v>
      </c>
    </row>
    <row r="74" spans="1:7" ht="16.5" x14ac:dyDescent="0.3">
      <c r="A74" s="3" t="s">
        <v>91</v>
      </c>
      <c r="B74" s="4">
        <v>46159</v>
      </c>
      <c r="C74" s="3">
        <v>2026</v>
      </c>
      <c r="D74" s="3" t="s">
        <v>23</v>
      </c>
      <c r="E74" s="3" t="s">
        <v>17</v>
      </c>
      <c r="F74" s="5" t="s">
        <v>15</v>
      </c>
      <c r="G74" s="3" t="s">
        <v>23</v>
      </c>
    </row>
    <row r="75" spans="1:7" ht="16.5" x14ac:dyDescent="0.3">
      <c r="A75" s="6" t="s">
        <v>92</v>
      </c>
      <c r="B75" s="7">
        <v>46111</v>
      </c>
      <c r="C75" s="6">
        <v>2026</v>
      </c>
      <c r="D75" s="6" t="s">
        <v>18</v>
      </c>
      <c r="E75" s="6" t="s">
        <v>14</v>
      </c>
      <c r="F75" s="8" t="s">
        <v>15</v>
      </c>
      <c r="G75" s="6" t="s">
        <v>18</v>
      </c>
    </row>
    <row r="76" spans="1:7" ht="16.5" x14ac:dyDescent="0.3">
      <c r="A76" s="3" t="s">
        <v>93</v>
      </c>
      <c r="B76" s="4">
        <v>46142</v>
      </c>
      <c r="C76" s="3">
        <v>2026</v>
      </c>
      <c r="D76" s="3" t="s">
        <v>13</v>
      </c>
      <c r="E76" s="3" t="s">
        <v>23</v>
      </c>
      <c r="F76" s="5" t="s">
        <v>11</v>
      </c>
      <c r="G76" s="3" t="s">
        <v>23</v>
      </c>
    </row>
    <row r="77" spans="1:7" ht="16.5" x14ac:dyDescent="0.3">
      <c r="A77" s="6" t="s">
        <v>94</v>
      </c>
      <c r="B77" s="7">
        <v>46135</v>
      </c>
      <c r="C77" s="6">
        <v>2026</v>
      </c>
      <c r="D77" s="6" t="s">
        <v>28</v>
      </c>
      <c r="E77" s="6" t="s">
        <v>17</v>
      </c>
      <c r="F77" s="8" t="s">
        <v>30</v>
      </c>
      <c r="G77" s="6" t="s">
        <v>17</v>
      </c>
    </row>
    <row r="78" spans="1:7" ht="16.5" x14ac:dyDescent="0.3">
      <c r="A78" s="3" t="s">
        <v>95</v>
      </c>
      <c r="B78" s="4">
        <v>46129</v>
      </c>
      <c r="C78" s="3">
        <v>2026</v>
      </c>
      <c r="D78" s="3" t="s">
        <v>9</v>
      </c>
      <c r="E78" s="3" t="s">
        <v>17</v>
      </c>
      <c r="F78" s="5" t="s">
        <v>15</v>
      </c>
      <c r="G78" s="3" t="s">
        <v>9</v>
      </c>
    </row>
    <row r="79" spans="1:7" ht="16.5" x14ac:dyDescent="0.3">
      <c r="A79" s="6" t="s">
        <v>96</v>
      </c>
      <c r="B79" s="7">
        <v>46160</v>
      </c>
      <c r="C79" s="6">
        <v>2026</v>
      </c>
      <c r="D79" s="6" t="s">
        <v>18</v>
      </c>
      <c r="E79" s="6" t="s">
        <v>14</v>
      </c>
      <c r="F79" s="8" t="s">
        <v>32</v>
      </c>
      <c r="G79" s="6" t="s">
        <v>18</v>
      </c>
    </row>
    <row r="80" spans="1:7" ht="16.5" x14ac:dyDescent="0.3">
      <c r="A80" s="3" t="s">
        <v>97</v>
      </c>
      <c r="B80" s="4">
        <v>46138</v>
      </c>
      <c r="C80" s="3">
        <v>2026</v>
      </c>
      <c r="D80" s="3" t="s">
        <v>10</v>
      </c>
      <c r="E80" s="3" t="s">
        <v>28</v>
      </c>
      <c r="F80" s="5" t="s">
        <v>30</v>
      </c>
      <c r="G80" s="3" t="s">
        <v>28</v>
      </c>
    </row>
    <row r="81" spans="1:7" ht="16.5" x14ac:dyDescent="0.3">
      <c r="A81" s="6" t="s">
        <v>98</v>
      </c>
      <c r="B81" s="7">
        <v>46114</v>
      </c>
      <c r="C81" s="6">
        <v>2026</v>
      </c>
      <c r="D81" s="6" t="s">
        <v>28</v>
      </c>
      <c r="E81" s="6" t="s">
        <v>23</v>
      </c>
      <c r="F81" s="8" t="s">
        <v>30</v>
      </c>
      <c r="G81" s="6" t="s">
        <v>23</v>
      </c>
    </row>
    <row r="82" spans="1:7" ht="16.5" x14ac:dyDescent="0.3">
      <c r="A82" s="3" t="s">
        <v>99</v>
      </c>
      <c r="B82" s="4">
        <v>46158</v>
      </c>
      <c r="C82" s="3">
        <v>2026</v>
      </c>
      <c r="D82" s="3" t="s">
        <v>9</v>
      </c>
      <c r="E82" s="3" t="s">
        <v>14</v>
      </c>
      <c r="F82" s="5" t="s">
        <v>32</v>
      </c>
      <c r="G82" s="3" t="s">
        <v>9</v>
      </c>
    </row>
    <row r="83" spans="1:7" ht="16.5" x14ac:dyDescent="0.3">
      <c r="A83" s="6" t="s">
        <v>100</v>
      </c>
      <c r="B83" s="7">
        <v>46132</v>
      </c>
      <c r="C83" s="6">
        <v>2026</v>
      </c>
      <c r="D83" s="6" t="s">
        <v>28</v>
      </c>
      <c r="E83" s="6" t="s">
        <v>23</v>
      </c>
      <c r="F83" s="8" t="s">
        <v>11</v>
      </c>
      <c r="G83" s="6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defaultRowHeight="15" x14ac:dyDescent="0.25"/>
  <cols>
    <col min="1" max="1" width="15" customWidth="1"/>
    <col min="2" max="2" width="47" customWidth="1"/>
    <col min="3" max="6" width="15" customWidth="1"/>
    <col min="7" max="7" width="25" customWidth="1"/>
  </cols>
  <sheetData>
    <row r="1" spans="1:7" ht="16.5" x14ac:dyDescent="0.3">
      <c r="A1" s="1" t="s">
        <v>101</v>
      </c>
    </row>
    <row r="3" spans="1:7" ht="16.5" x14ac:dyDescent="0.3">
      <c r="A3" s="9" t="s">
        <v>102</v>
      </c>
      <c r="B3" s="9" t="s">
        <v>103</v>
      </c>
      <c r="G3" s="10" t="s">
        <v>104</v>
      </c>
    </row>
    <row r="4" spans="1:7" ht="16.5" x14ac:dyDescent="0.3">
      <c r="A4" s="11" t="s">
        <v>28</v>
      </c>
      <c r="B4" s="12">
        <f>COUNTIF(task1!D4:E83, A4)</f>
        <v>19</v>
      </c>
      <c r="G4" s="13" t="s">
        <v>15</v>
      </c>
    </row>
    <row r="5" spans="1:7" x14ac:dyDescent="0.25">
      <c r="A5" s="11" t="s">
        <v>23</v>
      </c>
      <c r="B5" s="12">
        <f>COUNTIF(task1!D4:E83, A5)</f>
        <v>17</v>
      </c>
      <c r="G5" s="14" t="s">
        <v>30</v>
      </c>
    </row>
    <row r="6" spans="1:7" x14ac:dyDescent="0.25">
      <c r="A6" s="11" t="s">
        <v>14</v>
      </c>
      <c r="B6" s="12">
        <f>COUNTIF(task1!D4:E83, A6)</f>
        <v>24</v>
      </c>
      <c r="G6" s="14" t="s">
        <v>25</v>
      </c>
    </row>
    <row r="7" spans="1:7" x14ac:dyDescent="0.25">
      <c r="A7" s="11" t="s">
        <v>9</v>
      </c>
      <c r="B7" s="12">
        <f>COUNTIF(task1!D4:E83, A7)</f>
        <v>18</v>
      </c>
      <c r="G7" s="14" t="s">
        <v>32</v>
      </c>
    </row>
    <row r="8" spans="1:7" x14ac:dyDescent="0.25">
      <c r="A8" s="11" t="s">
        <v>13</v>
      </c>
      <c r="B8" s="12">
        <f>COUNTIF(task1!D4:E83, A8)</f>
        <v>25</v>
      </c>
    </row>
    <row r="9" spans="1:7" ht="16.5" x14ac:dyDescent="0.3">
      <c r="A9" s="11" t="s">
        <v>17</v>
      </c>
      <c r="B9" s="12">
        <f>COUNTIF(task1!D4:E83, A9)</f>
        <v>14</v>
      </c>
      <c r="G9" s="10" t="s">
        <v>105</v>
      </c>
    </row>
    <row r="10" spans="1:7" x14ac:dyDescent="0.25">
      <c r="A10" s="11" t="s">
        <v>10</v>
      </c>
      <c r="B10" s="12">
        <f>COUNTIF(task1!D4:E83, A10)</f>
        <v>25</v>
      </c>
      <c r="G10" s="14" t="s">
        <v>106</v>
      </c>
    </row>
    <row r="11" spans="1:7" ht="16.5" x14ac:dyDescent="0.3">
      <c r="A11" s="11" t="s">
        <v>18</v>
      </c>
      <c r="B11" s="12">
        <f>COUNTIF(task1!D4:E83, A11)</f>
        <v>18</v>
      </c>
      <c r="G11" s="13" t="s">
        <v>107</v>
      </c>
    </row>
    <row r="12" spans="1:7" x14ac:dyDescent="0.25">
      <c r="G12" s="14" t="s">
        <v>108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/>
  </sheetViews>
  <sheetFormatPr defaultRowHeight="15" x14ac:dyDescent="0.25"/>
  <cols>
    <col min="1" max="1" width="16" customWidth="1"/>
    <col min="2" max="2" width="47" customWidth="1"/>
    <col min="3" max="9" width="15" customWidth="1"/>
  </cols>
  <sheetData>
    <row r="1" spans="1:9" ht="16.5" x14ac:dyDescent="0.3">
      <c r="A1" s="1" t="s">
        <v>109</v>
      </c>
    </row>
    <row r="3" spans="1:9" x14ac:dyDescent="0.25">
      <c r="A3" s="17" t="s">
        <v>110</v>
      </c>
      <c r="B3" s="18"/>
      <c r="C3" s="18"/>
      <c r="D3" s="18"/>
      <c r="E3" s="18"/>
      <c r="F3" s="18"/>
      <c r="G3" s="18"/>
      <c r="H3" s="18"/>
      <c r="I3" s="18"/>
    </row>
    <row r="4" spans="1:9" x14ac:dyDescent="0.25">
      <c r="A4" s="18"/>
      <c r="B4" s="18"/>
      <c r="C4" s="18"/>
      <c r="D4" s="18"/>
      <c r="E4" s="18"/>
      <c r="F4" s="18"/>
      <c r="G4" s="18"/>
      <c r="H4" s="18"/>
      <c r="I4" s="18"/>
    </row>
    <row r="6" spans="1:9" ht="16.5" x14ac:dyDescent="0.3">
      <c r="A6" s="9" t="s">
        <v>102</v>
      </c>
      <c r="B6" s="9" t="s">
        <v>111</v>
      </c>
    </row>
    <row r="7" spans="1:9" x14ac:dyDescent="0.25">
      <c r="A7" s="11" t="s">
        <v>28</v>
      </c>
      <c r="B7" s="12">
        <f>COUNTIF(task1!G4:G83, A7)</f>
        <v>7</v>
      </c>
    </row>
    <row r="8" spans="1:9" x14ac:dyDescent="0.25">
      <c r="A8" s="11" t="s">
        <v>23</v>
      </c>
      <c r="B8" s="12">
        <f>COUNTIF(task1!G4:G83, A8)</f>
        <v>11</v>
      </c>
    </row>
    <row r="9" spans="1:9" x14ac:dyDescent="0.25">
      <c r="A9" s="11" t="s">
        <v>14</v>
      </c>
      <c r="B9" s="12">
        <f>COUNTIF(task1!G4:G83, A9)</f>
        <v>10</v>
      </c>
    </row>
    <row r="10" spans="1:9" x14ac:dyDescent="0.25">
      <c r="A10" s="11" t="s">
        <v>9</v>
      </c>
      <c r="B10" s="12">
        <f>COUNTIF(task1!G4:G83, A10)</f>
        <v>13</v>
      </c>
    </row>
    <row r="11" spans="1:9" x14ac:dyDescent="0.25">
      <c r="A11" s="11" t="s">
        <v>13</v>
      </c>
      <c r="B11" s="12">
        <f>COUNTIF(task1!G4:G83, A11)</f>
        <v>11</v>
      </c>
    </row>
    <row r="12" spans="1:9" x14ac:dyDescent="0.25">
      <c r="A12" s="11" t="s">
        <v>17</v>
      </c>
      <c r="B12" s="12">
        <f>COUNTIF(task1!G4:G83, A12)</f>
        <v>7</v>
      </c>
    </row>
    <row r="13" spans="1:9" x14ac:dyDescent="0.25">
      <c r="A13" s="11" t="s">
        <v>10</v>
      </c>
      <c r="B13" s="12">
        <f>COUNTIF(task1!G4:G83, A13)</f>
        <v>10</v>
      </c>
    </row>
    <row r="14" spans="1:9" x14ac:dyDescent="0.25">
      <c r="A14" s="11" t="s">
        <v>18</v>
      </c>
      <c r="B14" s="12">
        <f>COUNTIF(task1!G4:G83, A14)</f>
        <v>11</v>
      </c>
    </row>
    <row r="16" spans="1:9" ht="16.5" x14ac:dyDescent="0.3">
      <c r="A16" s="9" t="s">
        <v>3</v>
      </c>
      <c r="B16" s="9" t="s">
        <v>112</v>
      </c>
    </row>
    <row r="17" spans="1:2" x14ac:dyDescent="0.25">
      <c r="A17" s="11">
        <v>2024</v>
      </c>
      <c r="B17" s="12">
        <f>COUNTIF(task1!C4:C83, A17)</f>
        <v>25</v>
      </c>
    </row>
    <row r="18" spans="1:2" x14ac:dyDescent="0.25">
      <c r="A18" s="11">
        <v>2025</v>
      </c>
      <c r="B18" s="12">
        <f>COUNTIF(task1!C4:C83, A18)</f>
        <v>25</v>
      </c>
    </row>
    <row r="19" spans="1:2" x14ac:dyDescent="0.25">
      <c r="A19" s="11">
        <v>2026</v>
      </c>
      <c r="B19" s="12">
        <f>COUNTIF(task1!C4:C83, A19)</f>
        <v>30</v>
      </c>
    </row>
  </sheetData>
  <mergeCells count="1">
    <mergeCell ref="A3:I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workbookViewId="0"/>
  </sheetViews>
  <sheetFormatPr defaultRowHeight="15" x14ac:dyDescent="0.25"/>
  <cols>
    <col min="1" max="1" width="17" customWidth="1"/>
    <col min="2" max="4" width="117" customWidth="1"/>
  </cols>
  <sheetData>
    <row r="1" spans="1:4" ht="16.5" x14ac:dyDescent="0.3">
      <c r="A1" s="1" t="s">
        <v>113</v>
      </c>
    </row>
    <row r="3" spans="1:4" ht="16.5" x14ac:dyDescent="0.3">
      <c r="A3" s="9" t="s">
        <v>114</v>
      </c>
      <c r="B3" s="9" t="s">
        <v>115</v>
      </c>
      <c r="C3" s="9" t="s">
        <v>116</v>
      </c>
      <c r="D3" s="9" t="s">
        <v>117</v>
      </c>
    </row>
    <row r="4" spans="1:4" x14ac:dyDescent="0.25">
      <c r="A4" s="15" t="s">
        <v>28</v>
      </c>
      <c r="B4" s="16">
        <f>SUMIFS(task1!C4:C83, task1!G4:G83, A4, task1!C4:C83, 2024)/2024</f>
        <v>1</v>
      </c>
      <c r="C4" s="16">
        <f>SUMIFS(task1!C4:C83, task1!G4:G83, A4, task1!C4:C83, 2025)/2025</f>
        <v>2</v>
      </c>
      <c r="D4" s="16">
        <f>SUMIFS(task1!C4:C83, task1!G4:G83, A4, task1!C4:C83, 2026)/2026</f>
        <v>4</v>
      </c>
    </row>
    <row r="5" spans="1:4" x14ac:dyDescent="0.25">
      <c r="A5" s="11" t="s">
        <v>23</v>
      </c>
      <c r="B5" s="12">
        <f>SUMIFS(task1!C4:C83, task1!G4:G83, A5, task1!C4:C83, 2024)/2024</f>
        <v>2</v>
      </c>
      <c r="C5" s="12">
        <f>SUMIFS(task1!C4:C83, task1!G4:G83, A5, task1!C4:C83, 2025)/2025</f>
        <v>6</v>
      </c>
      <c r="D5" s="12">
        <f>SUMIFS(task1!C4:C83, task1!G4:G83, A5, task1!C4:C83, 2026)/2026</f>
        <v>3</v>
      </c>
    </row>
    <row r="6" spans="1:4" x14ac:dyDescent="0.25">
      <c r="A6" s="15" t="s">
        <v>14</v>
      </c>
      <c r="B6" s="16">
        <f>SUMIFS(task1!C4:C83, task1!G4:G83, A6, task1!C4:C83, 2024)/2024</f>
        <v>5</v>
      </c>
      <c r="C6" s="16">
        <f>SUMIFS(task1!C4:C83, task1!G4:G83, A6, task1!C4:C83, 2025)/2025</f>
        <v>3</v>
      </c>
      <c r="D6" s="16">
        <f>SUMIFS(task1!C4:C83, task1!G4:G83, A6, task1!C4:C83, 2026)/2026</f>
        <v>2</v>
      </c>
    </row>
    <row r="7" spans="1:4" x14ac:dyDescent="0.25">
      <c r="A7" s="11" t="s">
        <v>9</v>
      </c>
      <c r="B7" s="12">
        <f>SUMIFS(task1!C4:C83, task1!G4:G83, A7, task1!C4:C83, 2024)/2024</f>
        <v>5</v>
      </c>
      <c r="C7" s="12">
        <f>SUMIFS(task1!C4:C83, task1!G4:G83, A7, task1!C4:C83, 2025)/2025</f>
        <v>4</v>
      </c>
      <c r="D7" s="12">
        <f>SUMIFS(task1!C4:C83, task1!G4:G83, A7, task1!C4:C83, 2026)/2026</f>
        <v>4</v>
      </c>
    </row>
    <row r="8" spans="1:4" x14ac:dyDescent="0.25">
      <c r="A8" s="15" t="s">
        <v>13</v>
      </c>
      <c r="B8" s="16">
        <f>SUMIFS(task1!C4:C83, task1!G4:G83, A8, task1!C4:C83, 2024)/2024</f>
        <v>3</v>
      </c>
      <c r="C8" s="16">
        <f>SUMIFS(task1!C4:C83, task1!G4:G83, A8, task1!C4:C83, 2025)/2025</f>
        <v>4</v>
      </c>
      <c r="D8" s="16">
        <f>SUMIFS(task1!C4:C83, task1!G4:G83, A8, task1!C4:C83, 2026)/2026</f>
        <v>4</v>
      </c>
    </row>
    <row r="9" spans="1:4" x14ac:dyDescent="0.25">
      <c r="A9" s="11" t="s">
        <v>17</v>
      </c>
      <c r="B9" s="12">
        <f>SUMIFS(task1!C4:C83, task1!G4:G83, A9, task1!C4:C83, 2024)/2024</f>
        <v>4</v>
      </c>
      <c r="C9" s="12">
        <f>SUMIFS(task1!C4:C83, task1!G4:G83, A9, task1!C4:C83, 2025)/2025</f>
        <v>1</v>
      </c>
      <c r="D9" s="12">
        <f>SUMIFS(task1!C4:C83, task1!G4:G83, A9, task1!C4:C83, 2026)/2026</f>
        <v>2</v>
      </c>
    </row>
    <row r="10" spans="1:4" x14ac:dyDescent="0.25">
      <c r="A10" s="15" t="s">
        <v>10</v>
      </c>
      <c r="B10" s="16">
        <f>SUMIFS(task1!C4:C83, task1!G4:G83, A10, task1!C4:C83, 2024)/2024</f>
        <v>3</v>
      </c>
      <c r="C10" s="16">
        <f>SUMIFS(task1!C4:C83, task1!G4:G83, A10, task1!C4:C83, 2025)/2025</f>
        <v>3</v>
      </c>
      <c r="D10" s="16">
        <f>SUMIFS(task1!C4:C83, task1!G4:G83, A10, task1!C4:C83, 2026)/2026</f>
        <v>4</v>
      </c>
    </row>
    <row r="11" spans="1:4" x14ac:dyDescent="0.25">
      <c r="A11" s="11" t="s">
        <v>18</v>
      </c>
      <c r="B11" s="12">
        <f>SUMIFS(task1!C4:C83, task1!G4:G83, A11, task1!C4:C83, 2024)/2024</f>
        <v>2</v>
      </c>
      <c r="C11" s="12">
        <f>SUMIFS(task1!C4:C83, task1!G4:G83, A11, task1!C4:C83, 2025)/2025</f>
        <v>2</v>
      </c>
      <c r="D11" s="12">
        <f>SUMIFS(task1!C4:C83, task1!G4:G83, A11, task1!C4:C83, 2026)/2026</f>
        <v>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</vt:lpstr>
      <vt:lpstr>task 2 &amp; 3</vt:lpstr>
      <vt:lpstr>task4</vt:lpstr>
      <vt:lpstr>task5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2026-07-09T08:54:53Z</dcterms:created>
  <dcterms:modified xsi:type="dcterms:W3CDTF">2026-07-09T08:57:04Z</dcterms:modified>
</cp:coreProperties>
</file>