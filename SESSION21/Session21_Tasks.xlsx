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21\"/>
    </mc:Choice>
  </mc:AlternateContent>
  <xr:revisionPtr revIDLastSave="0" documentId="13_ncr:1_{F09588D5-561F-4942-873F-C3FF9DAAC2E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sk1" sheetId="1" r:id="rId1"/>
    <sheet name="Task 1, 2 &amp; 3 - Cleaned Data" sheetId="2" r:id="rId2"/>
    <sheet name="task4" sheetId="3" r:id="rId3"/>
    <sheet name="task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C14" i="4"/>
  <c r="C13" i="4"/>
  <c r="D7" i="4"/>
  <c r="A7" i="4"/>
  <c r="C7" i="3"/>
  <c r="B7" i="3"/>
  <c r="C6" i="3"/>
  <c r="B6" i="3"/>
  <c r="C5" i="3"/>
  <c r="B5" i="3"/>
  <c r="C4" i="3"/>
  <c r="C8" i="3" s="1"/>
  <c r="B4" i="3"/>
  <c r="B8" i="3" s="1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</calcChain>
</file>

<file path=xl/sharedStrings.xml><?xml version="1.0" encoding="utf-8"?>
<sst xmlns="http://schemas.openxmlformats.org/spreadsheetml/2006/main" count="263" uniqueCount="111">
  <si>
    <t>Master reference table containing restaurant identity details mapped to their respective operational regions.</t>
  </si>
  <si>
    <t>Restaurant ID</t>
  </si>
  <si>
    <t>Restaurant Name</t>
  </si>
  <si>
    <t>Operational City</t>
  </si>
  <si>
    <t>La Pinoz</t>
  </si>
  <si>
    <t>Vadodara</t>
  </si>
  <si>
    <t>McDonalds</t>
  </si>
  <si>
    <t>Ahmedabad</t>
  </si>
  <si>
    <t>Subway</t>
  </si>
  <si>
    <t>Surat</t>
  </si>
  <si>
    <t>Burger King</t>
  </si>
  <si>
    <t>Rajkot</t>
  </si>
  <si>
    <t>Pizza Hut</t>
  </si>
  <si>
    <t>KFC</t>
  </si>
  <si>
    <t>Task 1, 2 &amp; 3: Cleaned main order tracking workspace containing VLOOKUP mappings and day extraction transforms.</t>
  </si>
  <si>
    <t>Order ID</t>
  </si>
  <si>
    <t>Delivery Date</t>
  </si>
  <si>
    <t>Restaurant Name (VLOOKUP)</t>
  </si>
  <si>
    <t>Day of Week</t>
  </si>
  <si>
    <t>City</t>
  </si>
  <si>
    <t>Delivery Partner</t>
  </si>
  <si>
    <t>Order Amount</t>
  </si>
  <si>
    <t>Delivery Charges</t>
  </si>
  <si>
    <t>Delivery Time (Mins)</t>
  </si>
  <si>
    <t>ZOM-ORD-001</t>
  </si>
  <si>
    <t>Zomato</t>
  </si>
  <si>
    <t>ZOM-ORD-002</t>
  </si>
  <si>
    <t>Unassigned</t>
  </si>
  <si>
    <t>ZOM-ORD-003</t>
  </si>
  <si>
    <t>Swiggy</t>
  </si>
  <si>
    <t>ZOM-ORD-004</t>
  </si>
  <si>
    <t>ZOM-ORD-005</t>
  </si>
  <si>
    <t>ZOM-ORD-006</t>
  </si>
  <si>
    <t>ZOM-ORD-007</t>
  </si>
  <si>
    <t>ZOM-ORD-008</t>
  </si>
  <si>
    <t>ZOM-ORD-009</t>
  </si>
  <si>
    <t>Zepto</t>
  </si>
  <si>
    <t>ZOM-ORD-010</t>
  </si>
  <si>
    <t>ZOM-ORD-011</t>
  </si>
  <si>
    <t>ZOM-ORD-012</t>
  </si>
  <si>
    <t>ZOM-ORD-013</t>
  </si>
  <si>
    <t>ZOM-ORD-014</t>
  </si>
  <si>
    <t>ZOM-ORD-015</t>
  </si>
  <si>
    <t>ZOM-ORD-016</t>
  </si>
  <si>
    <t>ZOM-ORD-017</t>
  </si>
  <si>
    <t>ZOM-ORD-018</t>
  </si>
  <si>
    <t>ZOM-ORD-019</t>
  </si>
  <si>
    <t>ZOM-ORD-020</t>
  </si>
  <si>
    <t>ZOM-ORD-021</t>
  </si>
  <si>
    <t>ZOM-ORD-022</t>
  </si>
  <si>
    <t>ZOM-ORD-023</t>
  </si>
  <si>
    <t>ZOM-ORD-024</t>
  </si>
  <si>
    <t>ZOM-ORD-025</t>
  </si>
  <si>
    <t>ZOM-ORD-026</t>
  </si>
  <si>
    <t>ZOM-ORD-027</t>
  </si>
  <si>
    <t>ZOM-ORD-028</t>
  </si>
  <si>
    <t>ZOM-ORD-029</t>
  </si>
  <si>
    <t>ZOM-ORD-030</t>
  </si>
  <si>
    <t>ZOM-ORD-031</t>
  </si>
  <si>
    <t>ZOM-ORD-032</t>
  </si>
  <si>
    <t>ZOM-ORD-033</t>
  </si>
  <si>
    <t>ZOM-ORD-034</t>
  </si>
  <si>
    <t>ZOM-ORD-035</t>
  </si>
  <si>
    <t>ZOM-ORD-036</t>
  </si>
  <si>
    <t>ZOM-ORD-037</t>
  </si>
  <si>
    <t>ZOM-ORD-038</t>
  </si>
  <si>
    <t>ZOM-ORD-039</t>
  </si>
  <si>
    <t>ZOM-ORD-040</t>
  </si>
  <si>
    <t>ZOM-ORD-041</t>
  </si>
  <si>
    <t>ZOM-ORD-042</t>
  </si>
  <si>
    <t>ZOM-ORD-043</t>
  </si>
  <si>
    <t>ZOM-ORD-044</t>
  </si>
  <si>
    <t>ZOM-ORD-045</t>
  </si>
  <si>
    <t>ZOM-ORD-046</t>
  </si>
  <si>
    <t>ZOM-ORD-047</t>
  </si>
  <si>
    <t>ZOM-ORD-048</t>
  </si>
  <si>
    <t>ZOM-ORD-049</t>
  </si>
  <si>
    <t>ZOM-ORD-050</t>
  </si>
  <si>
    <t>ZOM-ORD-051</t>
  </si>
  <si>
    <t>ZOM-ORD-052</t>
  </si>
  <si>
    <t>ZOM-ORD-053</t>
  </si>
  <si>
    <t>ZOM-ORD-054</t>
  </si>
  <si>
    <t>ZOM-ORD-055</t>
  </si>
  <si>
    <t>ZOM-ORD-056</t>
  </si>
  <si>
    <t>ZOM-ORD-057</t>
  </si>
  <si>
    <t>ZOM-ORD-058</t>
  </si>
  <si>
    <t>ZOM-ORD-059</t>
  </si>
  <si>
    <t>ZOM-ORD-060</t>
  </si>
  <si>
    <t>ZOM-ORD-061</t>
  </si>
  <si>
    <t>ZOM-ORD-062</t>
  </si>
  <si>
    <t>ZOM-ORD-063</t>
  </si>
  <si>
    <t>ZOM-ORD-064</t>
  </si>
  <si>
    <t>ZOM-ORD-065</t>
  </si>
  <si>
    <t>ZOM-ORD-066</t>
  </si>
  <si>
    <t>ZOM-ORD-067</t>
  </si>
  <si>
    <t>ZOM-ORD-068</t>
  </si>
  <si>
    <t>ZOM-ORD-069</t>
  </si>
  <si>
    <t>ZOM-ORD-070</t>
  </si>
  <si>
    <t>Task 4: Summary Table showing total orders and total delivery charges collected for each city using Pivot Table profiles.</t>
  </si>
  <si>
    <t>Total Orders</t>
  </si>
  <si>
    <t>Total Delivery Charges Collected</t>
  </si>
  <si>
    <t>Grand Total</t>
  </si>
  <si>
    <t>Task 5: Operational Performance Executive Metric Dashboard</t>
  </si>
  <si>
    <t xml:space="preserve">   FOOD DELIVERY EXECUTIVE DASHBOARD INTERACTION SUITE</t>
  </si>
  <si>
    <t>Total Orders Count</t>
  </si>
  <si>
    <t>Avg Delivery Time (Mins)</t>
  </si>
  <si>
    <t>Filter Slicer: City</t>
  </si>
  <si>
    <t>All Regions (Selected)</t>
  </si>
  <si>
    <t>Leaderboard: Top Restaurants by Orders</t>
  </si>
  <si>
    <t>Rank</t>
  </si>
  <si>
    <t>Total Order Volume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</si>
</sst>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10" x14ac:knownFonts="1">
    <font>
      <sz val="11"/>
      <color theme="1"/>
      <name val="Calibri"/>
      <family val="2"/>
      <scheme val="minor"/>
    </font>
    <font>
      <i/>
      <sz val="10"/>
      <color rgb="FF595959"/>
      <name val="Segoe UI"/>
    </font>
    <font>
      <sz val="11"/>
      <name val="Segoe UI"/>
    </font>
    <font>
      <b/>
      <sz val="11"/>
      <color rgb="FFFFFFFF"/>
      <name val="Segoe UI"/>
    </font>
    <font>
      <b/>
      <sz val="11"/>
      <color rgb="FF000000"/>
      <name val="Segoe UI"/>
    </font>
    <font>
      <b/>
      <sz val="11"/>
      <name val="Segoe UI"/>
    </font>
    <font>
      <b/>
      <sz val="13"/>
      <color rgb="FFFFFFFF"/>
      <name val="Segoe UI"/>
    </font>
    <font>
      <sz val="10"/>
      <color rgb="FF4B5563"/>
      <name val="Segoe UI"/>
    </font>
    <font>
      <b/>
      <sz val="14"/>
      <color rgb="FF111827"/>
      <name val="Segoe UI"/>
    </font>
    <font>
      <b/>
      <sz val="11"/>
      <color rgb="FF1F497D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  <fill>
      <patternFill patternType="solid">
        <fgColor rgb="FFF3F4F6"/>
        <bgColor rgb="FFF3F4F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/>
    <xf numFmtId="0" fontId="2" fillId="3" borderId="1" xfId="0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5" fillId="4" borderId="2" xfId="0" applyFont="1" applyFill="1" applyBorder="1"/>
    <xf numFmtId="0" fontId="5" fillId="4" borderId="0" xfId="0" applyFont="1" applyFill="1"/>
    <xf numFmtId="165" fontId="5" fillId="4" borderId="0" xfId="0" applyNumberFormat="1" applyFont="1" applyFill="1"/>
    <xf numFmtId="0" fontId="0" fillId="0" borderId="1" xfId="0" applyBorder="1"/>
    <xf numFmtId="0" fontId="9" fillId="0" borderId="0" xfId="0" applyFont="1"/>
    <xf numFmtId="0" fontId="3" fillId="2" borderId="0" xfId="0" applyFont="1" applyFill="1"/>
    <xf numFmtId="0" fontId="0" fillId="3" borderId="1" xfId="0" applyFill="1" applyBorder="1"/>
    <xf numFmtId="0" fontId="8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Delivery Charges Collected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task4!$C$3</c:f>
              <c:strCache>
                <c:ptCount val="1"/>
                <c:pt idx="0">
                  <c:v>Total Delivery Charges Collected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task4!$A$4:$A$7</c:f>
              <c:strCache>
                <c:ptCount val="4"/>
                <c:pt idx="0">
                  <c:v>Vadodara</c:v>
                </c:pt>
                <c:pt idx="1">
                  <c:v>Ahmedabad</c:v>
                </c:pt>
                <c:pt idx="2">
                  <c:v>Surat</c:v>
                </c:pt>
                <c:pt idx="3">
                  <c:v>Rajkot</c:v>
                </c:pt>
              </c:strCache>
            </c:strRef>
          </c:cat>
          <c:val>
            <c:numRef>
              <c:f>task4!$C$4:$C$7</c:f>
              <c:numCache>
                <c:formatCode>\₹#,##0</c:formatCode>
                <c:ptCount val="4"/>
                <c:pt idx="0">
                  <c:v>820</c:v>
                </c:pt>
                <c:pt idx="1">
                  <c:v>848</c:v>
                </c:pt>
                <c:pt idx="2">
                  <c:v>1166</c:v>
                </c:pt>
                <c:pt idx="3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5-4FBA-9F47-A6866CF98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Charges Collected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35" sqref="C35"/>
    </sheetView>
  </sheetViews>
  <sheetFormatPr defaultRowHeight="15" x14ac:dyDescent="0.25"/>
  <cols>
    <col min="1" max="1" width="17" customWidth="1"/>
    <col min="2" max="2" width="19" customWidth="1"/>
    <col min="3" max="3" width="20" customWidth="1"/>
  </cols>
  <sheetData>
    <row r="1" spans="1:3" x14ac:dyDescent="0.25">
      <c r="A1" s="1" t="s">
        <v>0</v>
      </c>
    </row>
    <row r="3" spans="1:3" ht="16.5" x14ac:dyDescent="0.3">
      <c r="A3" s="2" t="s">
        <v>1</v>
      </c>
      <c r="B3" s="2" t="s">
        <v>2</v>
      </c>
      <c r="C3" s="2" t="s">
        <v>3</v>
      </c>
    </row>
    <row r="4" spans="1:3" ht="16.5" x14ac:dyDescent="0.3">
      <c r="A4" s="3">
        <v>101</v>
      </c>
      <c r="B4" s="4" t="s">
        <v>4</v>
      </c>
      <c r="C4" s="3" t="s">
        <v>5</v>
      </c>
    </row>
    <row r="5" spans="1:3" ht="16.5" x14ac:dyDescent="0.3">
      <c r="A5" s="5">
        <v>102</v>
      </c>
      <c r="B5" s="6" t="s">
        <v>6</v>
      </c>
      <c r="C5" s="5" t="s">
        <v>7</v>
      </c>
    </row>
    <row r="6" spans="1:3" ht="16.5" x14ac:dyDescent="0.3">
      <c r="A6" s="3">
        <v>103</v>
      </c>
      <c r="B6" s="4" t="s">
        <v>8</v>
      </c>
      <c r="C6" s="3" t="s">
        <v>9</v>
      </c>
    </row>
    <row r="7" spans="1:3" ht="16.5" x14ac:dyDescent="0.3">
      <c r="A7" s="5">
        <v>104</v>
      </c>
      <c r="B7" s="6" t="s">
        <v>10</v>
      </c>
      <c r="C7" s="5" t="s">
        <v>11</v>
      </c>
    </row>
    <row r="8" spans="1:3" ht="16.5" x14ac:dyDescent="0.3">
      <c r="A8" s="3">
        <v>105</v>
      </c>
      <c r="B8" s="4" t="s">
        <v>12</v>
      </c>
      <c r="C8" s="3" t="s">
        <v>5</v>
      </c>
    </row>
    <row r="9" spans="1:3" ht="16.5" x14ac:dyDescent="0.3">
      <c r="A9" s="5">
        <v>106</v>
      </c>
      <c r="B9" s="6" t="s">
        <v>13</v>
      </c>
      <c r="C9" s="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tabSelected="1" workbookViewId="0"/>
  </sheetViews>
  <sheetFormatPr defaultRowHeight="15" x14ac:dyDescent="0.25"/>
  <cols>
    <col min="1" max="1" width="15" customWidth="1"/>
    <col min="2" max="3" width="17" customWidth="1"/>
    <col min="4" max="4" width="55" customWidth="1"/>
    <col min="5" max="5" width="22" customWidth="1"/>
    <col min="6" max="6" width="15" customWidth="1"/>
    <col min="7" max="7" width="20" customWidth="1"/>
    <col min="8" max="8" width="16" customWidth="1"/>
    <col min="9" max="9" width="20" customWidth="1"/>
    <col min="10" max="10" width="24" customWidth="1"/>
  </cols>
  <sheetData>
    <row r="1" spans="1:10" ht="16.5" x14ac:dyDescent="0.3">
      <c r="A1" s="7" t="s">
        <v>14</v>
      </c>
    </row>
    <row r="3" spans="1:10" ht="16.5" x14ac:dyDescent="0.3">
      <c r="A3" s="2" t="s">
        <v>15</v>
      </c>
      <c r="B3" s="2" t="s">
        <v>16</v>
      </c>
      <c r="C3" s="2" t="s">
        <v>1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ht="16.5" x14ac:dyDescent="0.3">
      <c r="A4" s="3" t="s">
        <v>24</v>
      </c>
      <c r="B4" s="8">
        <v>46176</v>
      </c>
      <c r="C4" s="3">
        <v>102</v>
      </c>
      <c r="D4" s="4" t="str">
        <f>VLOOKUP(C4, task1!A4:B9, 2, FALSE)</f>
        <v>McDonalds</v>
      </c>
      <c r="E4" s="3" t="str">
        <f t="shared" ref="E4:E35" si="0">TEXT(B4, "DDDD")</f>
        <v>Wednesday</v>
      </c>
      <c r="F4" s="3" t="s">
        <v>11</v>
      </c>
      <c r="G4" s="3" t="s">
        <v>25</v>
      </c>
      <c r="H4" s="9">
        <v>198</v>
      </c>
      <c r="I4" s="9">
        <v>68</v>
      </c>
      <c r="J4" s="10">
        <v>50</v>
      </c>
    </row>
    <row r="5" spans="1:10" ht="16.5" x14ac:dyDescent="0.3">
      <c r="A5" s="5" t="s">
        <v>26</v>
      </c>
      <c r="B5" s="11">
        <v>46180</v>
      </c>
      <c r="C5" s="5">
        <v>102</v>
      </c>
      <c r="D5" s="6" t="str">
        <f>VLOOKUP(C5, task1!A4:B9, 2, FALSE)</f>
        <v>McDonalds</v>
      </c>
      <c r="E5" s="5" t="str">
        <f t="shared" si="0"/>
        <v>Sunday</v>
      </c>
      <c r="F5" s="5" t="s">
        <v>9</v>
      </c>
      <c r="G5" s="5" t="s">
        <v>27</v>
      </c>
      <c r="H5" s="12">
        <v>597</v>
      </c>
      <c r="I5" s="12">
        <v>64</v>
      </c>
      <c r="J5" s="13">
        <v>51</v>
      </c>
    </row>
    <row r="6" spans="1:10" ht="16.5" x14ac:dyDescent="0.3">
      <c r="A6" s="3" t="s">
        <v>28</v>
      </c>
      <c r="B6" s="8">
        <v>46180</v>
      </c>
      <c r="C6" s="3">
        <v>105</v>
      </c>
      <c r="D6" s="4" t="str">
        <f>VLOOKUP(C6, task1!A4:B9, 2, FALSE)</f>
        <v>Pizza Hut</v>
      </c>
      <c r="E6" s="3" t="str">
        <f t="shared" si="0"/>
        <v>Sunday</v>
      </c>
      <c r="F6" s="3" t="s">
        <v>11</v>
      </c>
      <c r="G6" s="3" t="s">
        <v>29</v>
      </c>
      <c r="H6" s="9">
        <v>1358</v>
      </c>
      <c r="I6" s="9">
        <v>61</v>
      </c>
      <c r="J6" s="10">
        <v>20</v>
      </c>
    </row>
    <row r="7" spans="1:10" ht="16.5" x14ac:dyDescent="0.3">
      <c r="A7" s="5" t="s">
        <v>30</v>
      </c>
      <c r="B7" s="11">
        <v>46190</v>
      </c>
      <c r="C7" s="5">
        <v>106</v>
      </c>
      <c r="D7" s="6" t="str">
        <f>VLOOKUP(C7, task1!A4:B9, 2, FALSE)</f>
        <v>KFC</v>
      </c>
      <c r="E7" s="5" t="str">
        <f t="shared" si="0"/>
        <v>Wednesday</v>
      </c>
      <c r="F7" s="5" t="s">
        <v>9</v>
      </c>
      <c r="G7" s="5" t="s">
        <v>29</v>
      </c>
      <c r="H7" s="12">
        <v>1102</v>
      </c>
      <c r="I7" s="12">
        <v>64</v>
      </c>
      <c r="J7" s="13">
        <v>49</v>
      </c>
    </row>
    <row r="8" spans="1:10" ht="16.5" x14ac:dyDescent="0.3">
      <c r="A8" s="3" t="s">
        <v>31</v>
      </c>
      <c r="B8" s="8">
        <v>46175</v>
      </c>
      <c r="C8" s="3">
        <v>106</v>
      </c>
      <c r="D8" s="4" t="str">
        <f>VLOOKUP(C8, task1!A4:B9, 2, FALSE)</f>
        <v>KFC</v>
      </c>
      <c r="E8" s="3" t="str">
        <f t="shared" si="0"/>
        <v>Tuesday</v>
      </c>
      <c r="F8" s="3" t="s">
        <v>7</v>
      </c>
      <c r="G8" s="3" t="s">
        <v>27</v>
      </c>
      <c r="H8" s="9">
        <v>1465</v>
      </c>
      <c r="I8" s="9">
        <v>68</v>
      </c>
      <c r="J8" s="10">
        <v>42</v>
      </c>
    </row>
    <row r="9" spans="1:10" ht="16.5" x14ac:dyDescent="0.3">
      <c r="A9" s="5" t="s">
        <v>32</v>
      </c>
      <c r="B9" s="11">
        <v>46190</v>
      </c>
      <c r="C9" s="5">
        <v>105</v>
      </c>
      <c r="D9" s="6" t="str">
        <f>VLOOKUP(C9, task1!A4:B9, 2, FALSE)</f>
        <v>Pizza Hut</v>
      </c>
      <c r="E9" s="5" t="str">
        <f t="shared" si="0"/>
        <v>Wednesday</v>
      </c>
      <c r="F9" s="5" t="s">
        <v>5</v>
      </c>
      <c r="G9" s="5" t="s">
        <v>25</v>
      </c>
      <c r="H9" s="12">
        <v>1008</v>
      </c>
      <c r="I9" s="12">
        <v>48</v>
      </c>
      <c r="J9" s="13">
        <v>24</v>
      </c>
    </row>
    <row r="10" spans="1:10" ht="16.5" x14ac:dyDescent="0.3">
      <c r="A10" s="3" t="s">
        <v>33</v>
      </c>
      <c r="B10" s="8">
        <v>46178</v>
      </c>
      <c r="C10" s="3">
        <v>106</v>
      </c>
      <c r="D10" s="4" t="str">
        <f>VLOOKUP(C10, task1!A4:B9, 2, FALSE)</f>
        <v>KFC</v>
      </c>
      <c r="E10" s="3" t="str">
        <f t="shared" si="0"/>
        <v>Friday</v>
      </c>
      <c r="F10" s="3" t="s">
        <v>5</v>
      </c>
      <c r="G10" s="3" t="s">
        <v>29</v>
      </c>
      <c r="H10" s="9">
        <v>385</v>
      </c>
      <c r="I10" s="9">
        <v>77</v>
      </c>
      <c r="J10" s="10">
        <v>50</v>
      </c>
    </row>
    <row r="11" spans="1:10" ht="16.5" x14ac:dyDescent="0.3">
      <c r="A11" s="5" t="s">
        <v>34</v>
      </c>
      <c r="B11" s="11">
        <v>46174</v>
      </c>
      <c r="C11" s="5">
        <v>105</v>
      </c>
      <c r="D11" s="6" t="str">
        <f>VLOOKUP(C11, task1!A4:B9, 2, FALSE)</f>
        <v>Pizza Hut</v>
      </c>
      <c r="E11" s="5" t="str">
        <f t="shared" si="0"/>
        <v>Monday</v>
      </c>
      <c r="F11" s="5" t="s">
        <v>9</v>
      </c>
      <c r="G11" s="5" t="s">
        <v>25</v>
      </c>
      <c r="H11" s="12">
        <v>1071</v>
      </c>
      <c r="I11" s="12">
        <v>52</v>
      </c>
      <c r="J11" s="13">
        <v>41</v>
      </c>
    </row>
    <row r="12" spans="1:10" ht="16.5" x14ac:dyDescent="0.3">
      <c r="A12" s="3" t="s">
        <v>35</v>
      </c>
      <c r="B12" s="8">
        <v>46175</v>
      </c>
      <c r="C12" s="3">
        <v>101</v>
      </c>
      <c r="D12" s="4" t="str">
        <f>VLOOKUP(C12, task1!A4:B9, 2, FALSE)</f>
        <v>La Pinoz</v>
      </c>
      <c r="E12" s="3" t="str">
        <f t="shared" si="0"/>
        <v>Tuesday</v>
      </c>
      <c r="F12" s="3" t="s">
        <v>11</v>
      </c>
      <c r="G12" s="3" t="s">
        <v>36</v>
      </c>
      <c r="H12" s="9">
        <v>331</v>
      </c>
      <c r="I12" s="9">
        <v>22</v>
      </c>
      <c r="J12" s="10">
        <v>22</v>
      </c>
    </row>
    <row r="13" spans="1:10" ht="16.5" x14ac:dyDescent="0.3">
      <c r="A13" s="5" t="s">
        <v>37</v>
      </c>
      <c r="B13" s="11">
        <v>46185</v>
      </c>
      <c r="C13" s="5">
        <v>101</v>
      </c>
      <c r="D13" s="6" t="str">
        <f>VLOOKUP(C13, task1!A4:B9, 2, FALSE)</f>
        <v>La Pinoz</v>
      </c>
      <c r="E13" s="5" t="str">
        <f t="shared" si="0"/>
        <v>Friday</v>
      </c>
      <c r="F13" s="5" t="s">
        <v>9</v>
      </c>
      <c r="G13" s="5" t="s">
        <v>29</v>
      </c>
      <c r="H13" s="12">
        <v>1140</v>
      </c>
      <c r="I13" s="12">
        <v>44</v>
      </c>
      <c r="J13" s="13">
        <v>40</v>
      </c>
    </row>
    <row r="14" spans="1:10" ht="16.5" x14ac:dyDescent="0.3">
      <c r="A14" s="3" t="s">
        <v>38</v>
      </c>
      <c r="B14" s="8">
        <v>46185</v>
      </c>
      <c r="C14" s="3">
        <v>101</v>
      </c>
      <c r="D14" s="4" t="str">
        <f>VLOOKUP(C14, task1!A4:B9, 2, FALSE)</f>
        <v>La Pinoz</v>
      </c>
      <c r="E14" s="3" t="str">
        <f t="shared" si="0"/>
        <v>Friday</v>
      </c>
      <c r="F14" s="3" t="s">
        <v>7</v>
      </c>
      <c r="G14" s="3" t="s">
        <v>29</v>
      </c>
      <c r="H14" s="9">
        <v>1477</v>
      </c>
      <c r="I14" s="9">
        <v>59</v>
      </c>
      <c r="J14" s="10">
        <v>20</v>
      </c>
    </row>
    <row r="15" spans="1:10" ht="16.5" x14ac:dyDescent="0.3">
      <c r="A15" s="5" t="s">
        <v>39</v>
      </c>
      <c r="B15" s="11">
        <v>46191</v>
      </c>
      <c r="C15" s="5">
        <v>103</v>
      </c>
      <c r="D15" s="6" t="str">
        <f>VLOOKUP(C15, task1!A4:B9, 2, FALSE)</f>
        <v>Subway</v>
      </c>
      <c r="E15" s="5" t="str">
        <f t="shared" si="0"/>
        <v>Thursday</v>
      </c>
      <c r="F15" s="5" t="s">
        <v>11</v>
      </c>
      <c r="G15" s="5" t="s">
        <v>25</v>
      </c>
      <c r="H15" s="12">
        <v>794</v>
      </c>
      <c r="I15" s="12">
        <v>54</v>
      </c>
      <c r="J15" s="13">
        <v>47</v>
      </c>
    </row>
    <row r="16" spans="1:10" ht="16.5" x14ac:dyDescent="0.3">
      <c r="A16" s="3" t="s">
        <v>40</v>
      </c>
      <c r="B16" s="8">
        <v>46174</v>
      </c>
      <c r="C16" s="3">
        <v>101</v>
      </c>
      <c r="D16" s="4" t="str">
        <f>VLOOKUP(C16, task1!A4:B9, 2, FALSE)</f>
        <v>La Pinoz</v>
      </c>
      <c r="E16" s="3" t="str">
        <f t="shared" si="0"/>
        <v>Monday</v>
      </c>
      <c r="F16" s="3" t="s">
        <v>11</v>
      </c>
      <c r="G16" s="3" t="s">
        <v>36</v>
      </c>
      <c r="H16" s="9">
        <v>151</v>
      </c>
      <c r="I16" s="9">
        <v>47</v>
      </c>
      <c r="J16" s="10">
        <v>48</v>
      </c>
    </row>
    <row r="17" spans="1:10" ht="16.5" x14ac:dyDescent="0.3">
      <c r="A17" s="5" t="s">
        <v>41</v>
      </c>
      <c r="B17" s="11">
        <v>46175</v>
      </c>
      <c r="C17" s="5">
        <v>103</v>
      </c>
      <c r="D17" s="6" t="str">
        <f>VLOOKUP(C17, task1!A4:B9, 2, FALSE)</f>
        <v>Subway</v>
      </c>
      <c r="E17" s="5" t="str">
        <f t="shared" si="0"/>
        <v>Tuesday</v>
      </c>
      <c r="F17" s="5" t="s">
        <v>9</v>
      </c>
      <c r="G17" s="5" t="s">
        <v>29</v>
      </c>
      <c r="H17" s="12">
        <v>495</v>
      </c>
      <c r="I17" s="12">
        <v>37</v>
      </c>
      <c r="J17" s="13">
        <v>18</v>
      </c>
    </row>
    <row r="18" spans="1:10" ht="16.5" x14ac:dyDescent="0.3">
      <c r="A18" s="3" t="s">
        <v>42</v>
      </c>
      <c r="B18" s="8">
        <v>46187</v>
      </c>
      <c r="C18" s="3">
        <v>102</v>
      </c>
      <c r="D18" s="4" t="str">
        <f>VLOOKUP(C18, task1!A4:B9, 2, FALSE)</f>
        <v>McDonalds</v>
      </c>
      <c r="E18" s="3" t="str">
        <f t="shared" si="0"/>
        <v>Sunday</v>
      </c>
      <c r="F18" s="3" t="s">
        <v>11</v>
      </c>
      <c r="G18" s="3" t="s">
        <v>29</v>
      </c>
      <c r="H18" s="9">
        <v>695</v>
      </c>
      <c r="I18" s="9">
        <v>31</v>
      </c>
      <c r="J18" s="10">
        <v>26</v>
      </c>
    </row>
    <row r="19" spans="1:10" ht="16.5" x14ac:dyDescent="0.3">
      <c r="A19" s="5" t="s">
        <v>43</v>
      </c>
      <c r="B19" s="11">
        <v>46185</v>
      </c>
      <c r="C19" s="5">
        <v>106</v>
      </c>
      <c r="D19" s="6" t="str">
        <f>VLOOKUP(C19, task1!A4:B9, 2, FALSE)</f>
        <v>KFC</v>
      </c>
      <c r="E19" s="5" t="str">
        <f t="shared" si="0"/>
        <v>Friday</v>
      </c>
      <c r="F19" s="5" t="s">
        <v>11</v>
      </c>
      <c r="G19" s="5" t="s">
        <v>36</v>
      </c>
      <c r="H19" s="12">
        <v>620</v>
      </c>
      <c r="I19" s="12">
        <v>37</v>
      </c>
      <c r="J19" s="13">
        <v>24</v>
      </c>
    </row>
    <row r="20" spans="1:10" ht="16.5" x14ac:dyDescent="0.3">
      <c r="A20" s="3" t="s">
        <v>44</v>
      </c>
      <c r="B20" s="8">
        <v>46175</v>
      </c>
      <c r="C20" s="3">
        <v>102</v>
      </c>
      <c r="D20" s="4" t="str">
        <f>VLOOKUP(C20, task1!A4:B9, 2, FALSE)</f>
        <v>McDonalds</v>
      </c>
      <c r="E20" s="3" t="str">
        <f t="shared" si="0"/>
        <v>Tuesday</v>
      </c>
      <c r="F20" s="3" t="s">
        <v>5</v>
      </c>
      <c r="G20" s="3" t="s">
        <v>25</v>
      </c>
      <c r="H20" s="9">
        <v>1212</v>
      </c>
      <c r="I20" s="9">
        <v>66</v>
      </c>
      <c r="J20" s="10">
        <v>43</v>
      </c>
    </row>
    <row r="21" spans="1:10" ht="16.5" x14ac:dyDescent="0.3">
      <c r="A21" s="5" t="s">
        <v>45</v>
      </c>
      <c r="B21" s="11">
        <v>46177</v>
      </c>
      <c r="C21" s="5">
        <v>102</v>
      </c>
      <c r="D21" s="6" t="str">
        <f>VLOOKUP(C21, task1!A4:B9, 2, FALSE)</f>
        <v>McDonalds</v>
      </c>
      <c r="E21" s="5" t="str">
        <f t="shared" si="0"/>
        <v>Thursday</v>
      </c>
      <c r="F21" s="5" t="s">
        <v>7</v>
      </c>
      <c r="G21" s="5" t="s">
        <v>36</v>
      </c>
      <c r="H21" s="12">
        <v>1363</v>
      </c>
      <c r="I21" s="12">
        <v>65</v>
      </c>
      <c r="J21" s="13">
        <v>40</v>
      </c>
    </row>
    <row r="22" spans="1:10" ht="16.5" x14ac:dyDescent="0.3">
      <c r="A22" s="3" t="s">
        <v>46</v>
      </c>
      <c r="B22" s="8">
        <v>46188</v>
      </c>
      <c r="C22" s="3">
        <v>103</v>
      </c>
      <c r="D22" s="4" t="str">
        <f>VLOOKUP(C22, task1!A4:B9, 2, FALSE)</f>
        <v>Subway</v>
      </c>
      <c r="E22" s="3" t="str">
        <f t="shared" si="0"/>
        <v>Monday</v>
      </c>
      <c r="F22" s="3" t="s">
        <v>7</v>
      </c>
      <c r="G22" s="3" t="s">
        <v>25</v>
      </c>
      <c r="H22" s="9">
        <v>294</v>
      </c>
      <c r="I22" s="9">
        <v>54</v>
      </c>
      <c r="J22" s="10">
        <v>15</v>
      </c>
    </row>
    <row r="23" spans="1:10" ht="16.5" x14ac:dyDescent="0.3">
      <c r="A23" s="5" t="s">
        <v>47</v>
      </c>
      <c r="B23" s="11">
        <v>46177</v>
      </c>
      <c r="C23" s="5">
        <v>102</v>
      </c>
      <c r="D23" s="6" t="str">
        <f>VLOOKUP(C23, task1!A4:B9, 2, FALSE)</f>
        <v>McDonalds</v>
      </c>
      <c r="E23" s="5" t="str">
        <f t="shared" si="0"/>
        <v>Thursday</v>
      </c>
      <c r="F23" s="5" t="s">
        <v>9</v>
      </c>
      <c r="G23" s="5" t="s">
        <v>36</v>
      </c>
      <c r="H23" s="12">
        <v>780</v>
      </c>
      <c r="I23" s="12">
        <v>78</v>
      </c>
      <c r="J23" s="13">
        <v>15</v>
      </c>
    </row>
    <row r="24" spans="1:10" ht="16.5" x14ac:dyDescent="0.3">
      <c r="A24" s="3" t="s">
        <v>48</v>
      </c>
      <c r="B24" s="8">
        <v>46186</v>
      </c>
      <c r="C24" s="3">
        <v>106</v>
      </c>
      <c r="D24" s="4" t="str">
        <f>VLOOKUP(C24, task1!A4:B9, 2, FALSE)</f>
        <v>KFC</v>
      </c>
      <c r="E24" s="3" t="str">
        <f t="shared" si="0"/>
        <v>Saturday</v>
      </c>
      <c r="F24" s="3" t="s">
        <v>11</v>
      </c>
      <c r="G24" s="3" t="s">
        <v>25</v>
      </c>
      <c r="H24" s="9">
        <v>331</v>
      </c>
      <c r="I24" s="9">
        <v>55</v>
      </c>
      <c r="J24" s="10">
        <v>45</v>
      </c>
    </row>
    <row r="25" spans="1:10" ht="16.5" x14ac:dyDescent="0.3">
      <c r="A25" s="5" t="s">
        <v>49</v>
      </c>
      <c r="B25" s="11">
        <v>46186</v>
      </c>
      <c r="C25" s="5">
        <v>103</v>
      </c>
      <c r="D25" s="6" t="str">
        <f>VLOOKUP(C25, task1!A4:B9, 2, FALSE)</f>
        <v>Subway</v>
      </c>
      <c r="E25" s="5" t="str">
        <f t="shared" si="0"/>
        <v>Saturday</v>
      </c>
      <c r="F25" s="5" t="s">
        <v>7</v>
      </c>
      <c r="G25" s="5" t="s">
        <v>27</v>
      </c>
      <c r="H25" s="12">
        <v>1085</v>
      </c>
      <c r="I25" s="12">
        <v>50</v>
      </c>
      <c r="J25" s="13">
        <v>52</v>
      </c>
    </row>
    <row r="26" spans="1:10" ht="16.5" x14ac:dyDescent="0.3">
      <c r="A26" s="3" t="s">
        <v>50</v>
      </c>
      <c r="B26" s="8">
        <v>46192</v>
      </c>
      <c r="C26" s="3">
        <v>105</v>
      </c>
      <c r="D26" s="4" t="str">
        <f>VLOOKUP(C26, task1!A4:B9, 2, FALSE)</f>
        <v>Pizza Hut</v>
      </c>
      <c r="E26" s="3" t="str">
        <f t="shared" si="0"/>
        <v>Friday</v>
      </c>
      <c r="F26" s="3" t="s">
        <v>11</v>
      </c>
      <c r="G26" s="3" t="s">
        <v>29</v>
      </c>
      <c r="H26" s="9">
        <v>1264</v>
      </c>
      <c r="I26" s="9">
        <v>51</v>
      </c>
      <c r="J26" s="10">
        <v>30</v>
      </c>
    </row>
    <row r="27" spans="1:10" ht="16.5" x14ac:dyDescent="0.3">
      <c r="A27" s="5" t="s">
        <v>51</v>
      </c>
      <c r="B27" s="11">
        <v>46186</v>
      </c>
      <c r="C27" s="5">
        <v>103</v>
      </c>
      <c r="D27" s="6" t="str">
        <f>VLOOKUP(C27, task1!A4:B9, 2, FALSE)</f>
        <v>Subway</v>
      </c>
      <c r="E27" s="5" t="str">
        <f t="shared" si="0"/>
        <v>Saturday</v>
      </c>
      <c r="F27" s="5" t="s">
        <v>9</v>
      </c>
      <c r="G27" s="5" t="s">
        <v>29</v>
      </c>
      <c r="H27" s="12">
        <v>304</v>
      </c>
      <c r="I27" s="12">
        <v>64</v>
      </c>
      <c r="J27" s="13">
        <v>52</v>
      </c>
    </row>
    <row r="28" spans="1:10" ht="16.5" x14ac:dyDescent="0.3">
      <c r="A28" s="3" t="s">
        <v>52</v>
      </c>
      <c r="B28" s="8">
        <v>46177</v>
      </c>
      <c r="C28" s="3">
        <v>102</v>
      </c>
      <c r="D28" s="4" t="str">
        <f>VLOOKUP(C28, task1!A4:B9, 2, FALSE)</f>
        <v>McDonalds</v>
      </c>
      <c r="E28" s="3" t="str">
        <f t="shared" si="0"/>
        <v>Thursday</v>
      </c>
      <c r="F28" s="3" t="s">
        <v>7</v>
      </c>
      <c r="G28" s="3" t="s">
        <v>29</v>
      </c>
      <c r="H28" s="9">
        <v>388</v>
      </c>
      <c r="I28" s="9">
        <v>62</v>
      </c>
      <c r="J28" s="10">
        <v>51</v>
      </c>
    </row>
    <row r="29" spans="1:10" ht="16.5" x14ac:dyDescent="0.3">
      <c r="A29" s="5" t="s">
        <v>53</v>
      </c>
      <c r="B29" s="11">
        <v>46174</v>
      </c>
      <c r="C29" s="5">
        <v>106</v>
      </c>
      <c r="D29" s="6" t="str">
        <f>VLOOKUP(C29, task1!A4:B9, 2, FALSE)</f>
        <v>KFC</v>
      </c>
      <c r="E29" s="5" t="str">
        <f t="shared" si="0"/>
        <v>Monday</v>
      </c>
      <c r="F29" s="5" t="s">
        <v>11</v>
      </c>
      <c r="G29" s="5" t="s">
        <v>36</v>
      </c>
      <c r="H29" s="12">
        <v>504</v>
      </c>
      <c r="I29" s="12">
        <v>59</v>
      </c>
      <c r="J29" s="13">
        <v>26</v>
      </c>
    </row>
    <row r="30" spans="1:10" ht="16.5" x14ac:dyDescent="0.3">
      <c r="A30" s="3" t="s">
        <v>54</v>
      </c>
      <c r="B30" s="8">
        <v>46190</v>
      </c>
      <c r="C30" s="3">
        <v>103</v>
      </c>
      <c r="D30" s="4" t="str">
        <f>VLOOKUP(C30, task1!A4:B9, 2, FALSE)</f>
        <v>Subway</v>
      </c>
      <c r="E30" s="3" t="str">
        <f t="shared" si="0"/>
        <v>Wednesday</v>
      </c>
      <c r="F30" s="3" t="s">
        <v>7</v>
      </c>
      <c r="G30" s="3" t="s">
        <v>36</v>
      </c>
      <c r="H30" s="9">
        <v>1367</v>
      </c>
      <c r="I30" s="9">
        <v>46</v>
      </c>
      <c r="J30" s="10">
        <v>36</v>
      </c>
    </row>
    <row r="31" spans="1:10" ht="16.5" x14ac:dyDescent="0.3">
      <c r="A31" s="5" t="s">
        <v>55</v>
      </c>
      <c r="B31" s="11">
        <v>46191</v>
      </c>
      <c r="C31" s="5">
        <v>106</v>
      </c>
      <c r="D31" s="6" t="str">
        <f>VLOOKUP(C31, task1!A4:B9, 2, FALSE)</f>
        <v>KFC</v>
      </c>
      <c r="E31" s="5" t="str">
        <f t="shared" si="0"/>
        <v>Thursday</v>
      </c>
      <c r="F31" s="5" t="s">
        <v>7</v>
      </c>
      <c r="G31" s="5" t="s">
        <v>27</v>
      </c>
      <c r="H31" s="12">
        <v>664</v>
      </c>
      <c r="I31" s="12">
        <v>35</v>
      </c>
      <c r="J31" s="13">
        <v>26</v>
      </c>
    </row>
    <row r="32" spans="1:10" ht="16.5" x14ac:dyDescent="0.3">
      <c r="A32" s="3" t="s">
        <v>56</v>
      </c>
      <c r="B32" s="8">
        <v>46181</v>
      </c>
      <c r="C32" s="3">
        <v>104</v>
      </c>
      <c r="D32" s="4" t="str">
        <f>VLOOKUP(C32, task1!A4:B9, 2, FALSE)</f>
        <v>Burger King</v>
      </c>
      <c r="E32" s="3" t="str">
        <f t="shared" si="0"/>
        <v>Monday</v>
      </c>
      <c r="F32" s="3" t="s">
        <v>9</v>
      </c>
      <c r="G32" s="3" t="s">
        <v>25</v>
      </c>
      <c r="H32" s="9">
        <v>624</v>
      </c>
      <c r="I32" s="9">
        <v>36</v>
      </c>
      <c r="J32" s="10">
        <v>29</v>
      </c>
    </row>
    <row r="33" spans="1:10" ht="16.5" x14ac:dyDescent="0.3">
      <c r="A33" s="5" t="s">
        <v>57</v>
      </c>
      <c r="B33" s="11">
        <v>46174</v>
      </c>
      <c r="C33" s="5">
        <v>102</v>
      </c>
      <c r="D33" s="6" t="str">
        <f>VLOOKUP(C33, task1!A4:B9, 2, FALSE)</f>
        <v>McDonalds</v>
      </c>
      <c r="E33" s="5" t="str">
        <f t="shared" si="0"/>
        <v>Monday</v>
      </c>
      <c r="F33" s="5" t="s">
        <v>7</v>
      </c>
      <c r="G33" s="5" t="s">
        <v>36</v>
      </c>
      <c r="H33" s="12">
        <v>693</v>
      </c>
      <c r="I33" s="12">
        <v>72</v>
      </c>
      <c r="J33" s="13">
        <v>37</v>
      </c>
    </row>
    <row r="34" spans="1:10" ht="16.5" x14ac:dyDescent="0.3">
      <c r="A34" s="3" t="s">
        <v>58</v>
      </c>
      <c r="B34" s="8">
        <v>46183</v>
      </c>
      <c r="C34" s="3">
        <v>102</v>
      </c>
      <c r="D34" s="4" t="str">
        <f>VLOOKUP(C34, task1!A4:B9, 2, FALSE)</f>
        <v>McDonalds</v>
      </c>
      <c r="E34" s="3" t="str">
        <f t="shared" si="0"/>
        <v>Wednesday</v>
      </c>
      <c r="F34" s="3" t="s">
        <v>7</v>
      </c>
      <c r="G34" s="3" t="s">
        <v>27</v>
      </c>
      <c r="H34" s="9">
        <v>364</v>
      </c>
      <c r="I34" s="9">
        <v>41</v>
      </c>
      <c r="J34" s="10">
        <v>25</v>
      </c>
    </row>
    <row r="35" spans="1:10" ht="16.5" x14ac:dyDescent="0.3">
      <c r="A35" s="5" t="s">
        <v>59</v>
      </c>
      <c r="B35" s="11">
        <v>46183</v>
      </c>
      <c r="C35" s="5">
        <v>104</v>
      </c>
      <c r="D35" s="6" t="str">
        <f>VLOOKUP(C35, task1!A4:B9, 2, FALSE)</f>
        <v>Burger King</v>
      </c>
      <c r="E35" s="5" t="str">
        <f t="shared" si="0"/>
        <v>Wednesday</v>
      </c>
      <c r="F35" s="5" t="s">
        <v>11</v>
      </c>
      <c r="G35" s="5" t="s">
        <v>29</v>
      </c>
      <c r="H35" s="12">
        <v>1154</v>
      </c>
      <c r="I35" s="12">
        <v>73</v>
      </c>
      <c r="J35" s="13">
        <v>54</v>
      </c>
    </row>
    <row r="36" spans="1:10" ht="16.5" x14ac:dyDescent="0.3">
      <c r="A36" s="3" t="s">
        <v>60</v>
      </c>
      <c r="B36" s="8">
        <v>46176</v>
      </c>
      <c r="C36" s="3">
        <v>102</v>
      </c>
      <c r="D36" s="4" t="str">
        <f>VLOOKUP(C36, task1!A4:B9, 2, FALSE)</f>
        <v>McDonalds</v>
      </c>
      <c r="E36" s="3" t="str">
        <f t="shared" ref="E36:E67" si="1">TEXT(B36, "DDDD")</f>
        <v>Wednesday</v>
      </c>
      <c r="F36" s="3" t="s">
        <v>5</v>
      </c>
      <c r="G36" s="3" t="s">
        <v>36</v>
      </c>
      <c r="H36" s="9">
        <v>1236</v>
      </c>
      <c r="I36" s="9">
        <v>45</v>
      </c>
      <c r="J36" s="10">
        <v>52</v>
      </c>
    </row>
    <row r="37" spans="1:10" ht="16.5" x14ac:dyDescent="0.3">
      <c r="A37" s="5" t="s">
        <v>61</v>
      </c>
      <c r="B37" s="11">
        <v>46175</v>
      </c>
      <c r="C37" s="5">
        <v>102</v>
      </c>
      <c r="D37" s="6" t="str">
        <f>VLOOKUP(C37, task1!A4:B9, 2, FALSE)</f>
        <v>McDonalds</v>
      </c>
      <c r="E37" s="5" t="str">
        <f t="shared" si="1"/>
        <v>Tuesday</v>
      </c>
      <c r="F37" s="5" t="s">
        <v>5</v>
      </c>
      <c r="G37" s="5" t="s">
        <v>25</v>
      </c>
      <c r="H37" s="12">
        <v>261</v>
      </c>
      <c r="I37" s="12">
        <v>74</v>
      </c>
      <c r="J37" s="13">
        <v>53</v>
      </c>
    </row>
    <row r="38" spans="1:10" ht="16.5" x14ac:dyDescent="0.3">
      <c r="A38" s="3" t="s">
        <v>62</v>
      </c>
      <c r="B38" s="8">
        <v>46176</v>
      </c>
      <c r="C38" s="3">
        <v>103</v>
      </c>
      <c r="D38" s="4" t="str">
        <f>VLOOKUP(C38, task1!A4:B9, 2, FALSE)</f>
        <v>Subway</v>
      </c>
      <c r="E38" s="3" t="str">
        <f t="shared" si="1"/>
        <v>Wednesday</v>
      </c>
      <c r="F38" s="3" t="s">
        <v>11</v>
      </c>
      <c r="G38" s="3" t="s">
        <v>29</v>
      </c>
      <c r="H38" s="9">
        <v>846</v>
      </c>
      <c r="I38" s="9">
        <v>65</v>
      </c>
      <c r="J38" s="10">
        <v>22</v>
      </c>
    </row>
    <row r="39" spans="1:10" ht="16.5" x14ac:dyDescent="0.3">
      <c r="A39" s="5" t="s">
        <v>63</v>
      </c>
      <c r="B39" s="11">
        <v>46189</v>
      </c>
      <c r="C39" s="5">
        <v>106</v>
      </c>
      <c r="D39" s="6" t="str">
        <f>VLOOKUP(C39, task1!A4:B9, 2, FALSE)</f>
        <v>KFC</v>
      </c>
      <c r="E39" s="5" t="str">
        <f t="shared" si="1"/>
        <v>Tuesday</v>
      </c>
      <c r="F39" s="5" t="s">
        <v>5</v>
      </c>
      <c r="G39" s="5" t="s">
        <v>25</v>
      </c>
      <c r="H39" s="12">
        <v>1177</v>
      </c>
      <c r="I39" s="12">
        <v>62</v>
      </c>
      <c r="J39" s="13">
        <v>15</v>
      </c>
    </row>
    <row r="40" spans="1:10" ht="16.5" x14ac:dyDescent="0.3">
      <c r="A40" s="3" t="s">
        <v>64</v>
      </c>
      <c r="B40" s="8">
        <v>46183</v>
      </c>
      <c r="C40" s="3">
        <v>102</v>
      </c>
      <c r="D40" s="4" t="str">
        <f>VLOOKUP(C40, task1!A4:B9, 2, FALSE)</f>
        <v>McDonalds</v>
      </c>
      <c r="E40" s="3" t="str">
        <f t="shared" si="1"/>
        <v>Wednesday</v>
      </c>
      <c r="F40" s="3" t="s">
        <v>7</v>
      </c>
      <c r="G40" s="3" t="s">
        <v>27</v>
      </c>
      <c r="H40" s="9">
        <v>1228</v>
      </c>
      <c r="I40" s="9">
        <v>23</v>
      </c>
      <c r="J40" s="10">
        <v>43</v>
      </c>
    </row>
    <row r="41" spans="1:10" ht="16.5" x14ac:dyDescent="0.3">
      <c r="A41" s="5" t="s">
        <v>65</v>
      </c>
      <c r="B41" s="11">
        <v>46180</v>
      </c>
      <c r="C41" s="5">
        <v>102</v>
      </c>
      <c r="D41" s="6" t="str">
        <f>VLOOKUP(C41, task1!A4:B9, 2, FALSE)</f>
        <v>McDonalds</v>
      </c>
      <c r="E41" s="5" t="str">
        <f t="shared" si="1"/>
        <v>Sunday</v>
      </c>
      <c r="F41" s="5" t="s">
        <v>5</v>
      </c>
      <c r="G41" s="5" t="s">
        <v>25</v>
      </c>
      <c r="H41" s="12">
        <v>893</v>
      </c>
      <c r="I41" s="12">
        <v>73</v>
      </c>
      <c r="J41" s="13">
        <v>45</v>
      </c>
    </row>
    <row r="42" spans="1:10" ht="16.5" x14ac:dyDescent="0.3">
      <c r="A42" s="3" t="s">
        <v>66</v>
      </c>
      <c r="B42" s="8">
        <v>46180</v>
      </c>
      <c r="C42" s="3">
        <v>104</v>
      </c>
      <c r="D42" s="4" t="str">
        <f>VLOOKUP(C42, task1!A4:B9, 2, FALSE)</f>
        <v>Burger King</v>
      </c>
      <c r="E42" s="3" t="str">
        <f t="shared" si="1"/>
        <v>Sunday</v>
      </c>
      <c r="F42" s="3" t="s">
        <v>9</v>
      </c>
      <c r="G42" s="3" t="s">
        <v>25</v>
      </c>
      <c r="H42" s="9">
        <v>967</v>
      </c>
      <c r="I42" s="9">
        <v>42</v>
      </c>
      <c r="J42" s="10">
        <v>27</v>
      </c>
    </row>
    <row r="43" spans="1:10" ht="16.5" x14ac:dyDescent="0.3">
      <c r="A43" s="5" t="s">
        <v>67</v>
      </c>
      <c r="B43" s="11">
        <v>46183</v>
      </c>
      <c r="C43" s="5">
        <v>106</v>
      </c>
      <c r="D43" s="6" t="str">
        <f>VLOOKUP(C43, task1!A4:B9, 2, FALSE)</f>
        <v>KFC</v>
      </c>
      <c r="E43" s="5" t="str">
        <f t="shared" si="1"/>
        <v>Wednesday</v>
      </c>
      <c r="F43" s="5" t="s">
        <v>11</v>
      </c>
      <c r="G43" s="5" t="s">
        <v>27</v>
      </c>
      <c r="H43" s="12">
        <v>722</v>
      </c>
      <c r="I43" s="12">
        <v>77</v>
      </c>
      <c r="J43" s="13">
        <v>44</v>
      </c>
    </row>
    <row r="44" spans="1:10" ht="16.5" x14ac:dyDescent="0.3">
      <c r="A44" s="3" t="s">
        <v>68</v>
      </c>
      <c r="B44" s="8">
        <v>46176</v>
      </c>
      <c r="C44" s="3">
        <v>103</v>
      </c>
      <c r="D44" s="4" t="str">
        <f>VLOOKUP(C44, task1!A4:B9, 2, FALSE)</f>
        <v>Subway</v>
      </c>
      <c r="E44" s="3" t="str">
        <f t="shared" si="1"/>
        <v>Wednesday</v>
      </c>
      <c r="F44" s="3" t="s">
        <v>7</v>
      </c>
      <c r="G44" s="3" t="s">
        <v>36</v>
      </c>
      <c r="H44" s="9">
        <v>464</v>
      </c>
      <c r="I44" s="9">
        <v>67</v>
      </c>
      <c r="J44" s="10">
        <v>38</v>
      </c>
    </row>
    <row r="45" spans="1:10" ht="16.5" x14ac:dyDescent="0.3">
      <c r="A45" s="5" t="s">
        <v>69</v>
      </c>
      <c r="B45" s="11">
        <v>46189</v>
      </c>
      <c r="C45" s="5">
        <v>104</v>
      </c>
      <c r="D45" s="6" t="str">
        <f>VLOOKUP(C45, task1!A4:B9, 2, FALSE)</f>
        <v>Burger King</v>
      </c>
      <c r="E45" s="5" t="str">
        <f t="shared" si="1"/>
        <v>Tuesday</v>
      </c>
      <c r="F45" s="5" t="s">
        <v>5</v>
      </c>
      <c r="G45" s="5" t="s">
        <v>36</v>
      </c>
      <c r="H45" s="12">
        <v>311</v>
      </c>
      <c r="I45" s="12">
        <v>52</v>
      </c>
      <c r="J45" s="13">
        <v>42</v>
      </c>
    </row>
    <row r="46" spans="1:10" ht="16.5" x14ac:dyDescent="0.3">
      <c r="A46" s="3" t="s">
        <v>70</v>
      </c>
      <c r="B46" s="8">
        <v>46177</v>
      </c>
      <c r="C46" s="3">
        <v>102</v>
      </c>
      <c r="D46" s="4" t="str">
        <f>VLOOKUP(C46, task1!A4:B9, 2, FALSE)</f>
        <v>McDonalds</v>
      </c>
      <c r="E46" s="3" t="str">
        <f t="shared" si="1"/>
        <v>Thursday</v>
      </c>
      <c r="F46" s="3" t="s">
        <v>9</v>
      </c>
      <c r="G46" s="3" t="s">
        <v>36</v>
      </c>
      <c r="H46" s="9">
        <v>784</v>
      </c>
      <c r="I46" s="9">
        <v>55</v>
      </c>
      <c r="J46" s="10">
        <v>44</v>
      </c>
    </row>
    <row r="47" spans="1:10" ht="16.5" x14ac:dyDescent="0.3">
      <c r="A47" s="5" t="s">
        <v>71</v>
      </c>
      <c r="B47" s="11">
        <v>46176</v>
      </c>
      <c r="C47" s="5">
        <v>105</v>
      </c>
      <c r="D47" s="6" t="str">
        <f>VLOOKUP(C47, task1!A4:B9, 2, FALSE)</f>
        <v>Pizza Hut</v>
      </c>
      <c r="E47" s="5" t="str">
        <f t="shared" si="1"/>
        <v>Wednesday</v>
      </c>
      <c r="F47" s="5" t="s">
        <v>9</v>
      </c>
      <c r="G47" s="5" t="s">
        <v>36</v>
      </c>
      <c r="H47" s="12">
        <v>174</v>
      </c>
      <c r="I47" s="12">
        <v>76</v>
      </c>
      <c r="J47" s="13">
        <v>28</v>
      </c>
    </row>
    <row r="48" spans="1:10" ht="16.5" x14ac:dyDescent="0.3">
      <c r="A48" s="3" t="s">
        <v>72</v>
      </c>
      <c r="B48" s="8">
        <v>46186</v>
      </c>
      <c r="C48" s="3">
        <v>101</v>
      </c>
      <c r="D48" s="4" t="str">
        <f>VLOOKUP(C48, task1!A4:B9, 2, FALSE)</f>
        <v>La Pinoz</v>
      </c>
      <c r="E48" s="3" t="str">
        <f t="shared" si="1"/>
        <v>Saturday</v>
      </c>
      <c r="F48" s="3" t="s">
        <v>7</v>
      </c>
      <c r="G48" s="3" t="s">
        <v>29</v>
      </c>
      <c r="H48" s="9">
        <v>1006</v>
      </c>
      <c r="I48" s="9">
        <v>37</v>
      </c>
      <c r="J48" s="10">
        <v>41</v>
      </c>
    </row>
    <row r="49" spans="1:10" ht="16.5" x14ac:dyDescent="0.3">
      <c r="A49" s="5" t="s">
        <v>73</v>
      </c>
      <c r="B49" s="11">
        <v>46193</v>
      </c>
      <c r="C49" s="5">
        <v>106</v>
      </c>
      <c r="D49" s="6" t="str">
        <f>VLOOKUP(C49, task1!A4:B9, 2, FALSE)</f>
        <v>KFC</v>
      </c>
      <c r="E49" s="5" t="str">
        <f t="shared" si="1"/>
        <v>Saturday</v>
      </c>
      <c r="F49" s="5" t="s">
        <v>9</v>
      </c>
      <c r="G49" s="5" t="s">
        <v>36</v>
      </c>
      <c r="H49" s="12">
        <v>300</v>
      </c>
      <c r="I49" s="12">
        <v>27</v>
      </c>
      <c r="J49" s="13">
        <v>46</v>
      </c>
    </row>
    <row r="50" spans="1:10" ht="16.5" x14ac:dyDescent="0.3">
      <c r="A50" s="3" t="s">
        <v>74</v>
      </c>
      <c r="B50" s="8">
        <v>46190</v>
      </c>
      <c r="C50" s="3">
        <v>101</v>
      </c>
      <c r="D50" s="4" t="str">
        <f>VLOOKUP(C50, task1!A4:B9, 2, FALSE)</f>
        <v>La Pinoz</v>
      </c>
      <c r="E50" s="3" t="str">
        <f t="shared" si="1"/>
        <v>Wednesday</v>
      </c>
      <c r="F50" s="3" t="s">
        <v>7</v>
      </c>
      <c r="G50" s="3" t="s">
        <v>29</v>
      </c>
      <c r="H50" s="9">
        <v>378</v>
      </c>
      <c r="I50" s="9">
        <v>27</v>
      </c>
      <c r="J50" s="10">
        <v>45</v>
      </c>
    </row>
    <row r="51" spans="1:10" ht="16.5" x14ac:dyDescent="0.3">
      <c r="A51" s="5" t="s">
        <v>75</v>
      </c>
      <c r="B51" s="11">
        <v>46185</v>
      </c>
      <c r="C51" s="5">
        <v>103</v>
      </c>
      <c r="D51" s="6" t="str">
        <f>VLOOKUP(C51, task1!A4:B9, 2, FALSE)</f>
        <v>Subway</v>
      </c>
      <c r="E51" s="5" t="str">
        <f t="shared" si="1"/>
        <v>Friday</v>
      </c>
      <c r="F51" s="5" t="s">
        <v>5</v>
      </c>
      <c r="G51" s="5" t="s">
        <v>29</v>
      </c>
      <c r="H51" s="12">
        <v>857</v>
      </c>
      <c r="I51" s="12">
        <v>68</v>
      </c>
      <c r="J51" s="13">
        <v>44</v>
      </c>
    </row>
    <row r="52" spans="1:10" ht="16.5" x14ac:dyDescent="0.3">
      <c r="A52" s="3" t="s">
        <v>76</v>
      </c>
      <c r="B52" s="8">
        <v>46180</v>
      </c>
      <c r="C52" s="3">
        <v>102</v>
      </c>
      <c r="D52" s="4" t="str">
        <f>VLOOKUP(C52, task1!A4:B9, 2, FALSE)</f>
        <v>McDonalds</v>
      </c>
      <c r="E52" s="3" t="str">
        <f t="shared" si="1"/>
        <v>Sunday</v>
      </c>
      <c r="F52" s="3" t="s">
        <v>9</v>
      </c>
      <c r="G52" s="3" t="s">
        <v>29</v>
      </c>
      <c r="H52" s="9">
        <v>1105</v>
      </c>
      <c r="I52" s="9">
        <v>61</v>
      </c>
      <c r="J52" s="10">
        <v>43</v>
      </c>
    </row>
    <row r="53" spans="1:10" ht="16.5" x14ac:dyDescent="0.3">
      <c r="A53" s="5" t="s">
        <v>77</v>
      </c>
      <c r="B53" s="11">
        <v>46182</v>
      </c>
      <c r="C53" s="5">
        <v>103</v>
      </c>
      <c r="D53" s="6" t="str">
        <f>VLOOKUP(C53, task1!A4:B9, 2, FALSE)</f>
        <v>Subway</v>
      </c>
      <c r="E53" s="5" t="str">
        <f t="shared" si="1"/>
        <v>Tuesday</v>
      </c>
      <c r="F53" s="5" t="s">
        <v>7</v>
      </c>
      <c r="G53" s="5" t="s">
        <v>27</v>
      </c>
      <c r="H53" s="12">
        <v>1296</v>
      </c>
      <c r="I53" s="12">
        <v>27</v>
      </c>
      <c r="J53" s="13">
        <v>15</v>
      </c>
    </row>
    <row r="54" spans="1:10" ht="16.5" x14ac:dyDescent="0.3">
      <c r="A54" s="3" t="s">
        <v>78</v>
      </c>
      <c r="B54" s="8">
        <v>46185</v>
      </c>
      <c r="C54" s="3">
        <v>105</v>
      </c>
      <c r="D54" s="4" t="str">
        <f>VLOOKUP(C54, task1!A4:B9, 2, FALSE)</f>
        <v>Pizza Hut</v>
      </c>
      <c r="E54" s="3" t="str">
        <f t="shared" si="1"/>
        <v>Friday</v>
      </c>
      <c r="F54" s="3" t="s">
        <v>9</v>
      </c>
      <c r="G54" s="3" t="s">
        <v>27</v>
      </c>
      <c r="H54" s="9">
        <v>693</v>
      </c>
      <c r="I54" s="9">
        <v>49</v>
      </c>
      <c r="J54" s="10">
        <v>41</v>
      </c>
    </row>
    <row r="55" spans="1:10" ht="16.5" x14ac:dyDescent="0.3">
      <c r="A55" s="5" t="s">
        <v>79</v>
      </c>
      <c r="B55" s="11">
        <v>46177</v>
      </c>
      <c r="C55" s="5">
        <v>101</v>
      </c>
      <c r="D55" s="6" t="str">
        <f>VLOOKUP(C55, task1!A4:B9, 2, FALSE)</f>
        <v>La Pinoz</v>
      </c>
      <c r="E55" s="5" t="str">
        <f t="shared" si="1"/>
        <v>Thursday</v>
      </c>
      <c r="F55" s="5" t="s">
        <v>9</v>
      </c>
      <c r="G55" s="5" t="s">
        <v>27</v>
      </c>
      <c r="H55" s="12">
        <v>1499</v>
      </c>
      <c r="I55" s="12">
        <v>79</v>
      </c>
      <c r="J55" s="13">
        <v>21</v>
      </c>
    </row>
    <row r="56" spans="1:10" ht="16.5" x14ac:dyDescent="0.3">
      <c r="A56" s="3" t="s">
        <v>80</v>
      </c>
      <c r="B56" s="8">
        <v>46182</v>
      </c>
      <c r="C56" s="3">
        <v>102</v>
      </c>
      <c r="D56" s="4" t="str">
        <f>VLOOKUP(C56, task1!A4:B9, 2, FALSE)</f>
        <v>McDonalds</v>
      </c>
      <c r="E56" s="3" t="str">
        <f t="shared" si="1"/>
        <v>Tuesday</v>
      </c>
      <c r="F56" s="3" t="s">
        <v>11</v>
      </c>
      <c r="G56" s="3" t="s">
        <v>29</v>
      </c>
      <c r="H56" s="9">
        <v>293</v>
      </c>
      <c r="I56" s="9">
        <v>30</v>
      </c>
      <c r="J56" s="10">
        <v>35</v>
      </c>
    </row>
    <row r="57" spans="1:10" ht="16.5" x14ac:dyDescent="0.3">
      <c r="A57" s="5" t="s">
        <v>81</v>
      </c>
      <c r="B57" s="11">
        <v>46193</v>
      </c>
      <c r="C57" s="5">
        <v>106</v>
      </c>
      <c r="D57" s="6" t="str">
        <f>VLOOKUP(C57, task1!A4:B9, 2, FALSE)</f>
        <v>KFC</v>
      </c>
      <c r="E57" s="5" t="str">
        <f t="shared" si="1"/>
        <v>Saturday</v>
      </c>
      <c r="F57" s="5" t="s">
        <v>9</v>
      </c>
      <c r="G57" s="5" t="s">
        <v>27</v>
      </c>
      <c r="H57" s="12">
        <v>872</v>
      </c>
      <c r="I57" s="12">
        <v>28</v>
      </c>
      <c r="J57" s="13">
        <v>29</v>
      </c>
    </row>
    <row r="58" spans="1:10" ht="16.5" x14ac:dyDescent="0.3">
      <c r="A58" s="3" t="s">
        <v>82</v>
      </c>
      <c r="B58" s="8">
        <v>46186</v>
      </c>
      <c r="C58" s="3">
        <v>101</v>
      </c>
      <c r="D58" s="4" t="str">
        <f>VLOOKUP(C58, task1!A4:B9, 2, FALSE)</f>
        <v>La Pinoz</v>
      </c>
      <c r="E58" s="3" t="str">
        <f t="shared" si="1"/>
        <v>Saturday</v>
      </c>
      <c r="F58" s="3" t="s">
        <v>7</v>
      </c>
      <c r="G58" s="3" t="s">
        <v>25</v>
      </c>
      <c r="H58" s="9">
        <v>907</v>
      </c>
      <c r="I58" s="9">
        <v>46</v>
      </c>
      <c r="J58" s="10">
        <v>41</v>
      </c>
    </row>
    <row r="59" spans="1:10" ht="16.5" x14ac:dyDescent="0.3">
      <c r="A59" s="5" t="s">
        <v>83</v>
      </c>
      <c r="B59" s="11">
        <v>46189</v>
      </c>
      <c r="C59" s="5">
        <v>101</v>
      </c>
      <c r="D59" s="6" t="str">
        <f>VLOOKUP(C59, task1!A4:B9, 2, FALSE)</f>
        <v>La Pinoz</v>
      </c>
      <c r="E59" s="5" t="str">
        <f t="shared" si="1"/>
        <v>Tuesday</v>
      </c>
      <c r="F59" s="5" t="s">
        <v>5</v>
      </c>
      <c r="G59" s="5" t="s">
        <v>36</v>
      </c>
      <c r="H59" s="12">
        <v>439</v>
      </c>
      <c r="I59" s="12">
        <v>40</v>
      </c>
      <c r="J59" s="13">
        <v>35</v>
      </c>
    </row>
    <row r="60" spans="1:10" ht="16.5" x14ac:dyDescent="0.3">
      <c r="A60" s="3" t="s">
        <v>84</v>
      </c>
      <c r="B60" s="8">
        <v>46174</v>
      </c>
      <c r="C60" s="3">
        <v>103</v>
      </c>
      <c r="D60" s="4" t="str">
        <f>VLOOKUP(C60, task1!A4:B9, 2, FALSE)</f>
        <v>Subway</v>
      </c>
      <c r="E60" s="3" t="str">
        <f t="shared" si="1"/>
        <v>Monday</v>
      </c>
      <c r="F60" s="3" t="s">
        <v>9</v>
      </c>
      <c r="G60" s="3" t="s">
        <v>36</v>
      </c>
      <c r="H60" s="9">
        <v>1068</v>
      </c>
      <c r="I60" s="9">
        <v>23</v>
      </c>
      <c r="J60" s="10">
        <v>15</v>
      </c>
    </row>
    <row r="61" spans="1:10" ht="16.5" x14ac:dyDescent="0.3">
      <c r="A61" s="5" t="s">
        <v>85</v>
      </c>
      <c r="B61" s="11">
        <v>46174</v>
      </c>
      <c r="C61" s="5">
        <v>101</v>
      </c>
      <c r="D61" s="6" t="str">
        <f>VLOOKUP(C61, task1!A4:B9, 2, FALSE)</f>
        <v>La Pinoz</v>
      </c>
      <c r="E61" s="5" t="str">
        <f t="shared" si="1"/>
        <v>Monday</v>
      </c>
      <c r="F61" s="5" t="s">
        <v>9</v>
      </c>
      <c r="G61" s="5" t="s">
        <v>36</v>
      </c>
      <c r="H61" s="12">
        <v>1076</v>
      </c>
      <c r="I61" s="12">
        <v>41</v>
      </c>
      <c r="J61" s="13">
        <v>20</v>
      </c>
    </row>
    <row r="62" spans="1:10" ht="16.5" x14ac:dyDescent="0.3">
      <c r="A62" s="3" t="s">
        <v>86</v>
      </c>
      <c r="B62" s="8">
        <v>46189</v>
      </c>
      <c r="C62" s="3">
        <v>106</v>
      </c>
      <c r="D62" s="4" t="str">
        <f>VLOOKUP(C62, task1!A4:B9, 2, FALSE)</f>
        <v>KFC</v>
      </c>
      <c r="E62" s="3" t="str">
        <f t="shared" si="1"/>
        <v>Tuesday</v>
      </c>
      <c r="F62" s="3" t="s">
        <v>9</v>
      </c>
      <c r="G62" s="3" t="s">
        <v>25</v>
      </c>
      <c r="H62" s="9">
        <v>868</v>
      </c>
      <c r="I62" s="9">
        <v>29</v>
      </c>
      <c r="J62" s="10">
        <v>35</v>
      </c>
    </row>
    <row r="63" spans="1:10" ht="16.5" x14ac:dyDescent="0.3">
      <c r="A63" s="5" t="s">
        <v>87</v>
      </c>
      <c r="B63" s="11">
        <v>46184</v>
      </c>
      <c r="C63" s="5">
        <v>103</v>
      </c>
      <c r="D63" s="6" t="str">
        <f>VLOOKUP(C63, task1!A4:B9, 2, FALSE)</f>
        <v>Subway</v>
      </c>
      <c r="E63" s="5" t="str">
        <f t="shared" si="1"/>
        <v>Thursday</v>
      </c>
      <c r="F63" s="5" t="s">
        <v>11</v>
      </c>
      <c r="G63" s="5" t="s">
        <v>29</v>
      </c>
      <c r="H63" s="12">
        <v>1255</v>
      </c>
      <c r="I63" s="12">
        <v>61</v>
      </c>
      <c r="J63" s="13">
        <v>52</v>
      </c>
    </row>
    <row r="64" spans="1:10" ht="16.5" x14ac:dyDescent="0.3">
      <c r="A64" s="3" t="s">
        <v>88</v>
      </c>
      <c r="B64" s="8">
        <v>46189</v>
      </c>
      <c r="C64" s="3">
        <v>102</v>
      </c>
      <c r="D64" s="4" t="str">
        <f>VLOOKUP(C64, task1!A4:B9, 2, FALSE)</f>
        <v>McDonalds</v>
      </c>
      <c r="E64" s="3" t="str">
        <f t="shared" si="1"/>
        <v>Tuesday</v>
      </c>
      <c r="F64" s="3" t="s">
        <v>9</v>
      </c>
      <c r="G64" s="3" t="s">
        <v>29</v>
      </c>
      <c r="H64" s="9">
        <v>190</v>
      </c>
      <c r="I64" s="9">
        <v>79</v>
      </c>
      <c r="J64" s="10">
        <v>18</v>
      </c>
    </row>
    <row r="65" spans="1:10" ht="16.5" x14ac:dyDescent="0.3">
      <c r="A65" s="5" t="s">
        <v>89</v>
      </c>
      <c r="B65" s="11">
        <v>46179</v>
      </c>
      <c r="C65" s="5">
        <v>101</v>
      </c>
      <c r="D65" s="6" t="str">
        <f>VLOOKUP(C65, task1!A4:B9, 2, FALSE)</f>
        <v>La Pinoz</v>
      </c>
      <c r="E65" s="5" t="str">
        <f t="shared" si="1"/>
        <v>Saturday</v>
      </c>
      <c r="F65" s="5" t="s">
        <v>11</v>
      </c>
      <c r="G65" s="5" t="s">
        <v>25</v>
      </c>
      <c r="H65" s="12">
        <v>1195</v>
      </c>
      <c r="I65" s="12">
        <v>64</v>
      </c>
      <c r="J65" s="13">
        <v>24</v>
      </c>
    </row>
    <row r="66" spans="1:10" ht="16.5" x14ac:dyDescent="0.3">
      <c r="A66" s="3" t="s">
        <v>90</v>
      </c>
      <c r="B66" s="8">
        <v>46176</v>
      </c>
      <c r="C66" s="3">
        <v>106</v>
      </c>
      <c r="D66" s="4" t="str">
        <f>VLOOKUP(C66, task1!A4:B9, 2, FALSE)</f>
        <v>KFC</v>
      </c>
      <c r="E66" s="3" t="str">
        <f t="shared" si="1"/>
        <v>Wednesday</v>
      </c>
      <c r="F66" s="3" t="s">
        <v>9</v>
      </c>
      <c r="G66" s="3" t="s">
        <v>25</v>
      </c>
      <c r="H66" s="9">
        <v>928</v>
      </c>
      <c r="I66" s="9">
        <v>22</v>
      </c>
      <c r="J66" s="10">
        <v>19</v>
      </c>
    </row>
    <row r="67" spans="1:10" ht="16.5" x14ac:dyDescent="0.3">
      <c r="A67" s="5" t="s">
        <v>91</v>
      </c>
      <c r="B67" s="11">
        <v>46182</v>
      </c>
      <c r="C67" s="5">
        <v>102</v>
      </c>
      <c r="D67" s="6" t="str">
        <f>VLOOKUP(C67, task1!A4:B9, 2, FALSE)</f>
        <v>McDonalds</v>
      </c>
      <c r="E67" s="5" t="str">
        <f t="shared" si="1"/>
        <v>Tuesday</v>
      </c>
      <c r="F67" s="5" t="s">
        <v>9</v>
      </c>
      <c r="G67" s="5" t="s">
        <v>29</v>
      </c>
      <c r="H67" s="12">
        <v>1167</v>
      </c>
      <c r="I67" s="12">
        <v>59</v>
      </c>
      <c r="J67" s="13">
        <v>50</v>
      </c>
    </row>
    <row r="68" spans="1:10" ht="16.5" x14ac:dyDescent="0.3">
      <c r="A68" s="3" t="s">
        <v>92</v>
      </c>
      <c r="B68" s="8">
        <v>46181</v>
      </c>
      <c r="C68" s="3">
        <v>106</v>
      </c>
      <c r="D68" s="4" t="str">
        <f>VLOOKUP(C68, task1!A4:B9, 2, FALSE)</f>
        <v>KFC</v>
      </c>
      <c r="E68" s="3" t="str">
        <f t="shared" ref="E68:E73" si="2">TEXT(B68, "DDDD")</f>
        <v>Monday</v>
      </c>
      <c r="F68" s="3" t="s">
        <v>5</v>
      </c>
      <c r="G68" s="3" t="s">
        <v>36</v>
      </c>
      <c r="H68" s="9">
        <v>453</v>
      </c>
      <c r="I68" s="9">
        <v>63</v>
      </c>
      <c r="J68" s="10">
        <v>38</v>
      </c>
    </row>
    <row r="69" spans="1:10" ht="16.5" x14ac:dyDescent="0.3">
      <c r="A69" s="5" t="s">
        <v>93</v>
      </c>
      <c r="B69" s="11">
        <v>46192</v>
      </c>
      <c r="C69" s="5">
        <v>106</v>
      </c>
      <c r="D69" s="6" t="str">
        <f>VLOOKUP(C69, task1!A4:B9, 2, FALSE)</f>
        <v>KFC</v>
      </c>
      <c r="E69" s="5" t="str">
        <f t="shared" si="2"/>
        <v>Friday</v>
      </c>
      <c r="F69" s="5" t="s">
        <v>9</v>
      </c>
      <c r="G69" s="5" t="s">
        <v>25</v>
      </c>
      <c r="H69" s="12">
        <v>646</v>
      </c>
      <c r="I69" s="12">
        <v>57</v>
      </c>
      <c r="J69" s="13">
        <v>39</v>
      </c>
    </row>
    <row r="70" spans="1:10" ht="16.5" x14ac:dyDescent="0.3">
      <c r="A70" s="3" t="s">
        <v>94</v>
      </c>
      <c r="B70" s="8">
        <v>46176</v>
      </c>
      <c r="C70" s="3">
        <v>106</v>
      </c>
      <c r="D70" s="4" t="str">
        <f>VLOOKUP(C70, task1!A4:B9, 2, FALSE)</f>
        <v>KFC</v>
      </c>
      <c r="E70" s="3" t="str">
        <f t="shared" si="2"/>
        <v>Wednesday</v>
      </c>
      <c r="F70" s="3" t="s">
        <v>7</v>
      </c>
      <c r="G70" s="3" t="s">
        <v>29</v>
      </c>
      <c r="H70" s="9">
        <v>1435</v>
      </c>
      <c r="I70" s="9">
        <v>69</v>
      </c>
      <c r="J70" s="10">
        <v>49</v>
      </c>
    </row>
    <row r="71" spans="1:10" ht="16.5" x14ac:dyDescent="0.3">
      <c r="A71" s="5" t="s">
        <v>95</v>
      </c>
      <c r="B71" s="11">
        <v>46182</v>
      </c>
      <c r="C71" s="5">
        <v>105</v>
      </c>
      <c r="D71" s="6" t="str">
        <f>VLOOKUP(C71, task1!A4:B9, 2, FALSE)</f>
        <v>Pizza Hut</v>
      </c>
      <c r="E71" s="5" t="str">
        <f t="shared" si="2"/>
        <v>Tuesday</v>
      </c>
      <c r="F71" s="5" t="s">
        <v>5</v>
      </c>
      <c r="G71" s="5" t="s">
        <v>25</v>
      </c>
      <c r="H71" s="12">
        <v>1399</v>
      </c>
      <c r="I71" s="12">
        <v>38</v>
      </c>
      <c r="J71" s="13">
        <v>27</v>
      </c>
    </row>
    <row r="72" spans="1:10" ht="16.5" x14ac:dyDescent="0.3">
      <c r="A72" s="3" t="s">
        <v>96</v>
      </c>
      <c r="B72" s="8">
        <v>46179</v>
      </c>
      <c r="C72" s="3">
        <v>106</v>
      </c>
      <c r="D72" s="4" t="str">
        <f>VLOOKUP(C72, task1!A4:B9, 2, FALSE)</f>
        <v>KFC</v>
      </c>
      <c r="E72" s="3" t="str">
        <f t="shared" si="2"/>
        <v>Saturday</v>
      </c>
      <c r="F72" s="3" t="s">
        <v>5</v>
      </c>
      <c r="G72" s="3" t="s">
        <v>29</v>
      </c>
      <c r="H72" s="9">
        <v>970</v>
      </c>
      <c r="I72" s="9">
        <v>61</v>
      </c>
      <c r="J72" s="10">
        <v>24</v>
      </c>
    </row>
    <row r="73" spans="1:10" ht="16.5" x14ac:dyDescent="0.3">
      <c r="A73" s="5" t="s">
        <v>97</v>
      </c>
      <c r="B73" s="11">
        <v>46183</v>
      </c>
      <c r="C73" s="5">
        <v>105</v>
      </c>
      <c r="D73" s="6" t="str">
        <f>VLOOKUP(C73, task1!A4:B9, 2, FALSE)</f>
        <v>Pizza Hut</v>
      </c>
      <c r="E73" s="5" t="str">
        <f t="shared" si="2"/>
        <v>Wednesday</v>
      </c>
      <c r="F73" s="5" t="s">
        <v>5</v>
      </c>
      <c r="G73" s="5" t="s">
        <v>36</v>
      </c>
      <c r="H73" s="12">
        <v>1083</v>
      </c>
      <c r="I73" s="12">
        <v>53</v>
      </c>
      <c r="J73" s="13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cols>
    <col min="1" max="1" width="15" customWidth="1"/>
    <col min="2" max="2" width="55" customWidth="1"/>
    <col min="3" max="3" width="92" customWidth="1"/>
  </cols>
  <sheetData>
    <row r="1" spans="1:3" ht="16.5" x14ac:dyDescent="0.3">
      <c r="A1" s="7" t="s">
        <v>98</v>
      </c>
    </row>
    <row r="3" spans="1:3" ht="16.5" x14ac:dyDescent="0.3">
      <c r="A3" s="2" t="s">
        <v>19</v>
      </c>
      <c r="B3" s="2" t="s">
        <v>99</v>
      </c>
      <c r="C3" s="2" t="s">
        <v>100</v>
      </c>
    </row>
    <row r="4" spans="1:3" x14ac:dyDescent="0.25">
      <c r="A4" s="14" t="s">
        <v>5</v>
      </c>
      <c r="B4" s="15">
        <f>COUNTIF('Task 1, 2 &amp; 3 - Cleaned Data'!F4:F73, A4)</f>
        <v>14</v>
      </c>
      <c r="C4" s="16">
        <f>SUMIF('Task 1, 2 &amp; 3 - Cleaned Data'!F4:F73, A4, 'Task 1, 2 &amp; 3 - Cleaned Data'!I4:I73)</f>
        <v>820</v>
      </c>
    </row>
    <row r="5" spans="1:3" x14ac:dyDescent="0.25">
      <c r="A5" s="17" t="s">
        <v>7</v>
      </c>
      <c r="B5" s="18">
        <f>COUNTIF('Task 1, 2 &amp; 3 - Cleaned Data'!F4:F73, A5)</f>
        <v>17</v>
      </c>
      <c r="C5" s="19">
        <f>SUMIF('Task 1, 2 &amp; 3 - Cleaned Data'!F4:F73, A5, 'Task 1, 2 &amp; 3 - Cleaned Data'!I4:I73)</f>
        <v>848</v>
      </c>
    </row>
    <row r="6" spans="1:3" x14ac:dyDescent="0.25">
      <c r="A6" s="14" t="s">
        <v>9</v>
      </c>
      <c r="B6" s="15">
        <f>COUNTIF('Task 1, 2 &amp; 3 - Cleaned Data'!F4:F73, A6)</f>
        <v>23</v>
      </c>
      <c r="C6" s="16">
        <f>SUMIF('Task 1, 2 &amp; 3 - Cleaned Data'!F4:F73, A6, 'Task 1, 2 &amp; 3 - Cleaned Data'!I4:I73)</f>
        <v>1166</v>
      </c>
    </row>
    <row r="7" spans="1:3" x14ac:dyDescent="0.25">
      <c r="A7" s="17" t="s">
        <v>11</v>
      </c>
      <c r="B7" s="18">
        <f>COUNTIF('Task 1, 2 &amp; 3 - Cleaned Data'!F4:F73, A7)</f>
        <v>16</v>
      </c>
      <c r="C7" s="19">
        <f>SUMIF('Task 1, 2 &amp; 3 - Cleaned Data'!F4:F73, A7, 'Task 1, 2 &amp; 3 - Cleaned Data'!I4:I73)</f>
        <v>855</v>
      </c>
    </row>
    <row r="8" spans="1:3" ht="16.5" x14ac:dyDescent="0.3">
      <c r="A8" s="20" t="s">
        <v>101</v>
      </c>
      <c r="B8" s="21">
        <f>SUM(B4:B7)</f>
        <v>70</v>
      </c>
      <c r="C8" s="22">
        <f>SUM(C4:C7)</f>
        <v>3689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/>
  </sheetViews>
  <sheetFormatPr defaultRowHeight="15" x14ac:dyDescent="0.25"/>
  <cols>
    <col min="1" max="1" width="16" customWidth="1"/>
    <col min="2" max="2" width="24" customWidth="1"/>
    <col min="3" max="3" width="26" customWidth="1"/>
    <col min="4" max="9" width="15" customWidth="1"/>
  </cols>
  <sheetData>
    <row r="1" spans="1:9" ht="16.5" x14ac:dyDescent="0.3">
      <c r="A1" s="7" t="s">
        <v>102</v>
      </c>
    </row>
    <row r="3" spans="1:9" x14ac:dyDescent="0.25">
      <c r="A3" s="34" t="s">
        <v>103</v>
      </c>
      <c r="B3" s="30"/>
      <c r="C3" s="30"/>
      <c r="D3" s="30"/>
      <c r="E3" s="30"/>
      <c r="F3" s="30"/>
      <c r="G3" s="30"/>
      <c r="H3" s="30"/>
      <c r="I3" s="30"/>
    </row>
    <row r="4" spans="1:9" x14ac:dyDescent="0.25">
      <c r="A4" s="30"/>
      <c r="B4" s="30"/>
      <c r="C4" s="30"/>
      <c r="D4" s="30"/>
      <c r="E4" s="30"/>
      <c r="F4" s="30"/>
      <c r="G4" s="30"/>
      <c r="H4" s="30"/>
      <c r="I4" s="30"/>
    </row>
    <row r="6" spans="1:9" ht="16.5" x14ac:dyDescent="0.25">
      <c r="A6" s="33" t="s">
        <v>104</v>
      </c>
      <c r="B6" s="28"/>
      <c r="C6" s="28"/>
      <c r="D6" s="33" t="s">
        <v>105</v>
      </c>
      <c r="E6" s="28"/>
      <c r="F6" s="28"/>
      <c r="H6" s="31" t="s">
        <v>106</v>
      </c>
      <c r="I6" s="30"/>
    </row>
    <row r="7" spans="1:9" ht="20.25" x14ac:dyDescent="0.25">
      <c r="A7" s="27">
        <f>COUNTA('Task 1, 2 &amp; 3 - Cleaned Data'!A4:A73)</f>
        <v>70</v>
      </c>
      <c r="B7" s="28"/>
      <c r="C7" s="28"/>
      <c r="D7" s="27">
        <f>AVERAGE('Task 1, 2 &amp; 3 - Cleaned Data'!J4:J73)</f>
        <v>35.642857142857146</v>
      </c>
      <c r="E7" s="28"/>
      <c r="F7" s="28"/>
      <c r="H7" s="32" t="s">
        <v>107</v>
      </c>
      <c r="I7" s="30"/>
    </row>
    <row r="8" spans="1:9" x14ac:dyDescent="0.25">
      <c r="H8" s="29" t="s">
        <v>5</v>
      </c>
      <c r="I8" s="30"/>
    </row>
    <row r="9" spans="1:9" x14ac:dyDescent="0.25">
      <c r="H9" s="29" t="s">
        <v>7</v>
      </c>
      <c r="I9" s="30"/>
    </row>
    <row r="10" spans="1:9" ht="16.5" x14ac:dyDescent="0.3">
      <c r="A10" s="24" t="s">
        <v>108</v>
      </c>
      <c r="H10" s="29" t="s">
        <v>9</v>
      </c>
      <c r="I10" s="30"/>
    </row>
    <row r="11" spans="1:9" x14ac:dyDescent="0.25">
      <c r="H11" s="29" t="s">
        <v>11</v>
      </c>
      <c r="I11" s="30"/>
    </row>
    <row r="12" spans="1:9" ht="16.5" x14ac:dyDescent="0.3">
      <c r="A12" s="25" t="s">
        <v>109</v>
      </c>
      <c r="B12" s="25" t="s">
        <v>2</v>
      </c>
      <c r="C12" s="25" t="s">
        <v>110</v>
      </c>
    </row>
    <row r="13" spans="1:9" x14ac:dyDescent="0.25">
      <c r="A13" s="17">
        <v>1</v>
      </c>
      <c r="B13" s="23" t="s">
        <v>8</v>
      </c>
      <c r="C13" s="18">
        <f>COUNTIF('Task 1, 2 &amp; 3 - Cleaned Data'!D4:D73, B13)</f>
        <v>12</v>
      </c>
    </row>
    <row r="14" spans="1:9" x14ac:dyDescent="0.25">
      <c r="A14" s="14">
        <v>2</v>
      </c>
      <c r="B14" s="26" t="s">
        <v>6</v>
      </c>
      <c r="C14" s="15">
        <f>COUNTIF('Task 1, 2 &amp; 3 - Cleaned Data'!D4:D73, B14)</f>
        <v>18</v>
      </c>
    </row>
    <row r="15" spans="1:9" x14ac:dyDescent="0.25">
      <c r="A15" s="17">
        <v>3</v>
      </c>
      <c r="B15" s="23" t="s">
        <v>4</v>
      </c>
      <c r="C15" s="18">
        <f>COUNTIF('Task 1, 2 &amp; 3 - Cleaned Data'!D4:D73, B15)</f>
        <v>11</v>
      </c>
    </row>
  </sheetData>
  <mergeCells count="11">
    <mergeCell ref="A6:C6"/>
    <mergeCell ref="H8:I8"/>
    <mergeCell ref="A3:I4"/>
    <mergeCell ref="A7:C7"/>
    <mergeCell ref="D6:F6"/>
    <mergeCell ref="D7:F7"/>
    <mergeCell ref="H11:I11"/>
    <mergeCell ref="H6:I6"/>
    <mergeCell ref="H7:I7"/>
    <mergeCell ref="H10:I10"/>
    <mergeCell ref="H9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 1, 2 &amp; 3 - Cleaned Data</vt:lpstr>
      <vt:lpstr>task4</vt:lpstr>
      <vt:lpstr>task5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2026-07-09T05:54:25Z</dcterms:created>
  <dcterms:modified xsi:type="dcterms:W3CDTF">2026-07-09T05:58:56Z</dcterms:modified>
</cp:coreProperties>
</file>