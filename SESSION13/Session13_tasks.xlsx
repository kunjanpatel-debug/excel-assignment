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OPS\Excel\EXCEL ASSIGNMENT NEW\SESSION13\"/>
    </mc:Choice>
  </mc:AlternateContent>
  <xr:revisionPtr revIDLastSave="0" documentId="13_ncr:1_{B9129AF3-0630-40AF-A9FC-334245B492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sk 1 - Pivot City Amount" sheetId="1" r:id="rId1"/>
    <sheet name="Task 2 - Matrix Breakdown" sheetId="2" r:id="rId2"/>
    <sheet name="Task 3 - Partner Order Counts" sheetId="3" r:id="rId3"/>
    <sheet name="Task 4 - Filtered City View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4" l="1"/>
  <c r="B12" i="4"/>
  <c r="B11" i="4"/>
  <c r="B10" i="4"/>
  <c r="B9" i="4"/>
  <c r="B8" i="4"/>
  <c r="B7" i="4"/>
  <c r="B6" i="4"/>
  <c r="B14" i="4" s="1"/>
  <c r="B7" i="3"/>
  <c r="B6" i="3"/>
  <c r="B5" i="3"/>
  <c r="B4" i="3"/>
  <c r="B8" i="3" s="1"/>
  <c r="E11" i="2"/>
  <c r="D11" i="2"/>
  <c r="C11" i="2"/>
  <c r="B11" i="2"/>
  <c r="F11" i="2" s="1"/>
  <c r="E10" i="2"/>
  <c r="F10" i="2" s="1"/>
  <c r="D10" i="2"/>
  <c r="C10" i="2"/>
  <c r="B10" i="2"/>
  <c r="E9" i="2"/>
  <c r="D9" i="2"/>
  <c r="C9" i="2"/>
  <c r="B9" i="2"/>
  <c r="F9" i="2" s="1"/>
  <c r="E8" i="2"/>
  <c r="D8" i="2"/>
  <c r="C8" i="2"/>
  <c r="F8" i="2" s="1"/>
  <c r="B8" i="2"/>
  <c r="E7" i="2"/>
  <c r="D7" i="2"/>
  <c r="C7" i="2"/>
  <c r="B7" i="2"/>
  <c r="F7" i="2" s="1"/>
  <c r="E6" i="2"/>
  <c r="D6" i="2"/>
  <c r="C6" i="2"/>
  <c r="B6" i="2"/>
  <c r="F6" i="2" s="1"/>
  <c r="E5" i="2"/>
  <c r="D5" i="2"/>
  <c r="C5" i="2"/>
  <c r="F5" i="2" s="1"/>
  <c r="B5" i="2"/>
  <c r="E4" i="2"/>
  <c r="E12" i="2" s="1"/>
  <c r="D4" i="2"/>
  <c r="D12" i="2" s="1"/>
  <c r="C4" i="2"/>
  <c r="C12" i="2" s="1"/>
  <c r="B4" i="2"/>
  <c r="F4" i="2" s="1"/>
  <c r="H7" i="1"/>
  <c r="H6" i="1"/>
  <c r="H5" i="1"/>
  <c r="H4" i="1"/>
  <c r="H8" i="1" s="1"/>
  <c r="F12" i="2" l="1"/>
  <c r="B12" i="2"/>
</calcChain>
</file>

<file path=xl/sharedStrings.xml><?xml version="1.0" encoding="utf-8"?>
<sst xmlns="http://schemas.openxmlformats.org/spreadsheetml/2006/main" count="267" uniqueCount="83">
  <si>
    <t>Task 1: Download a sample dataset of 50+ food delivery orders (include columns: Order ID, Restaurant, City, Delivery Partner, Amount) and create a Pivot Table to summarize the total Amount by City.</t>
  </si>
  <si>
    <t>Order ID</t>
  </si>
  <si>
    <t>Restaurant</t>
  </si>
  <si>
    <t>City</t>
  </si>
  <si>
    <t>Delivery Partner</t>
  </si>
  <si>
    <t>Amount</t>
  </si>
  <si>
    <t>Row Labels</t>
  </si>
  <si>
    <t>Sum of Amount</t>
  </si>
  <si>
    <t>ODR-2026-001</t>
  </si>
  <si>
    <t>Pizza Hut</t>
  </si>
  <si>
    <t>Surat</t>
  </si>
  <si>
    <t>Swiggy</t>
  </si>
  <si>
    <t>Ahmedabad</t>
  </si>
  <si>
    <t>ODR-2026-002</t>
  </si>
  <si>
    <t>Subway</t>
  </si>
  <si>
    <t>Rajkot</t>
  </si>
  <si>
    <t>ODR-2026-003</t>
  </si>
  <si>
    <t>McDonalds</t>
  </si>
  <si>
    <t>Zepto</t>
  </si>
  <si>
    <t>ODR-2026-004</t>
  </si>
  <si>
    <t>Dominos</t>
  </si>
  <si>
    <t>Zomato</t>
  </si>
  <si>
    <t>Vadodara</t>
  </si>
  <si>
    <t>ODR-2026-005</t>
  </si>
  <si>
    <t>Grand Total</t>
  </si>
  <si>
    <t>ODR-2026-006</t>
  </si>
  <si>
    <t>ODR-2026-007</t>
  </si>
  <si>
    <t>Burger Hub</t>
  </si>
  <si>
    <t>Blinkit</t>
  </si>
  <si>
    <t>ODR-2026-008</t>
  </si>
  <si>
    <t>ODR-2026-009</t>
  </si>
  <si>
    <t>ODR-2026-010</t>
  </si>
  <si>
    <t>Starbucks</t>
  </si>
  <si>
    <t>ODR-2026-011</t>
  </si>
  <si>
    <t>ODR-2026-012</t>
  </si>
  <si>
    <t>ODR-2026-013</t>
  </si>
  <si>
    <t>ODR-2026-014</t>
  </si>
  <si>
    <t>ODR-2026-015</t>
  </si>
  <si>
    <t>ODR-2026-016</t>
  </si>
  <si>
    <t>ODR-2026-017</t>
  </si>
  <si>
    <t>ODR-2026-018</t>
  </si>
  <si>
    <t>ODR-2026-019</t>
  </si>
  <si>
    <t>KFC</t>
  </si>
  <si>
    <t>ODR-2026-020</t>
  </si>
  <si>
    <t>ODR-2026-021</t>
  </si>
  <si>
    <t>ODR-2026-022</t>
  </si>
  <si>
    <t>ODR-2026-023</t>
  </si>
  <si>
    <t>ODR-2026-024</t>
  </si>
  <si>
    <t>ODR-2026-025</t>
  </si>
  <si>
    <t>ODR-2026-026</t>
  </si>
  <si>
    <t>ODR-2026-027</t>
  </si>
  <si>
    <t>La Pinoz</t>
  </si>
  <si>
    <t>ODR-2026-028</t>
  </si>
  <si>
    <t>ODR-2026-029</t>
  </si>
  <si>
    <t>ODR-2026-030</t>
  </si>
  <si>
    <t>ODR-2026-031</t>
  </si>
  <si>
    <t>ODR-2026-032</t>
  </si>
  <si>
    <t>ODR-2026-033</t>
  </si>
  <si>
    <t>ODR-2026-034</t>
  </si>
  <si>
    <t>ODR-2026-035</t>
  </si>
  <si>
    <t>ODR-2026-036</t>
  </si>
  <si>
    <t>ODR-2026-037</t>
  </si>
  <si>
    <t>ODR-2026-038</t>
  </si>
  <si>
    <t>ODR-2026-039</t>
  </si>
  <si>
    <t>ODR-2026-040</t>
  </si>
  <si>
    <t>ODR-2026-041</t>
  </si>
  <si>
    <t>ODR-2026-042</t>
  </si>
  <si>
    <t>ODR-2026-043</t>
  </si>
  <si>
    <t>ODR-2026-044</t>
  </si>
  <si>
    <t>ODR-2026-045</t>
  </si>
  <si>
    <t>ODR-2026-046</t>
  </si>
  <si>
    <t>ODR-2026-047</t>
  </si>
  <si>
    <t>ODR-2026-048</t>
  </si>
  <si>
    <t>ODR-2026-049</t>
  </si>
  <si>
    <t>ODR-2026-050</t>
  </si>
  <si>
    <t>ODR-2026-051</t>
  </si>
  <si>
    <t>ODR-2026-052</t>
  </si>
  <si>
    <t>ODR-2026-053</t>
  </si>
  <si>
    <t>ODR-2026-054</t>
  </si>
  <si>
    <t>Task 2: Using the same dataset, add 'Restaurant' to the Rows and 'City' to the Columns in your Pivot Table, then show the SUM of Amount for each combination.</t>
  </si>
  <si>
    <t>Task 3: Modify your Pivot Table to display the COUNT of orders delivered by each Delivery Partner instead of the Amount.</t>
  </si>
  <si>
    <t>Count of Order ID</t>
  </si>
  <si>
    <t>Task 4: Add a filter to your Pivot Table so you can view only orders from a specific City (e.g., Ahmedabad) and observe how the summarized values change.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</si>
</sst>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Segoe UI"/>
    </font>
    <font>
      <sz val="11"/>
      <name val="Segoe UI"/>
    </font>
    <font>
      <b/>
      <sz val="11"/>
      <color rgb="FFFFFFFF"/>
      <name val="Segoe UI"/>
    </font>
    <font>
      <b/>
      <sz val="11"/>
      <name val="Segoe UI"/>
    </font>
    <font>
      <sz val="11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4F8"/>
        <bgColor rgb="FFF2F4F8"/>
      </patternFill>
    </fill>
    <fill>
      <patternFill patternType="solid">
        <fgColor rgb="FFD9E1F2"/>
        <bgColor rgb="FFD9E1F2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000000"/>
      </bottom>
      <diagonal/>
    </border>
  </borders>
  <cellStyleXfs count="2">
    <xf numFmtId="0" fontId="0" fillId="0" borderId="0"/>
    <xf numFmtId="0" fontId="5" fillId="5" borderId="0" applyNumberFormat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3" fillId="2" borderId="0" xfId="0" applyFont="1" applyFill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right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  <xf numFmtId="0" fontId="4" fillId="4" borderId="2" xfId="0" applyFont="1" applyFill="1" applyBorder="1"/>
    <xf numFmtId="164" fontId="4" fillId="4" borderId="2" xfId="0" applyNumberFormat="1" applyFont="1" applyFill="1" applyBorder="1" applyAlignment="1">
      <alignment horizontal="right"/>
    </xf>
    <xf numFmtId="0" fontId="3" fillId="2" borderId="0" xfId="0" applyFont="1" applyFill="1" applyAlignment="1">
      <alignment horizontal="center"/>
    </xf>
    <xf numFmtId="0" fontId="0" fillId="3" borderId="1" xfId="0" applyFill="1" applyBorder="1"/>
    <xf numFmtId="164" fontId="0" fillId="3" borderId="1" xfId="0" applyNumberForma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3" fontId="0" fillId="3" borderId="1" xfId="0" applyNumberFormat="1" applyFill="1" applyBorder="1" applyAlignment="1">
      <alignment horizontal="right"/>
    </xf>
    <xf numFmtId="3" fontId="0" fillId="0" borderId="1" xfId="0" applyNumberFormat="1" applyBorder="1" applyAlignment="1">
      <alignment horizontal="right"/>
    </xf>
    <xf numFmtId="3" fontId="4" fillId="4" borderId="2" xfId="0" applyNumberFormat="1" applyFont="1" applyFill="1" applyBorder="1" applyAlignment="1">
      <alignment horizontal="right"/>
    </xf>
    <xf numFmtId="0" fontId="4" fillId="0" borderId="1" xfId="0" applyFont="1" applyBorder="1"/>
    <xf numFmtId="0" fontId="5" fillId="5" borderId="0" xfId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workbookViewId="0">
      <selection activeCell="H7" sqref="H7"/>
    </sheetView>
  </sheetViews>
  <sheetFormatPr defaultRowHeight="15" x14ac:dyDescent="0.25"/>
  <cols>
    <col min="1" max="1" width="16" customWidth="1"/>
    <col min="2" max="3" width="14" customWidth="1"/>
    <col min="4" max="4" width="20" customWidth="1"/>
    <col min="5" max="6" width="14" customWidth="1"/>
    <col min="7" max="7" width="15" customWidth="1"/>
    <col min="8" max="8" width="30" customWidth="1"/>
  </cols>
  <sheetData>
    <row r="1" spans="1:8" ht="16.5" x14ac:dyDescent="0.3">
      <c r="A1" s="1" t="s">
        <v>0</v>
      </c>
    </row>
    <row r="3" spans="1:8" ht="16.5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G3" s="3" t="s">
        <v>6</v>
      </c>
      <c r="H3" s="3" t="s">
        <v>7</v>
      </c>
    </row>
    <row r="4" spans="1:8" ht="16.5" x14ac:dyDescent="0.3">
      <c r="A4" s="4" t="s">
        <v>8</v>
      </c>
      <c r="B4" s="5" t="s">
        <v>9</v>
      </c>
      <c r="C4" s="4" t="s">
        <v>10</v>
      </c>
      <c r="D4" s="4" t="s">
        <v>11</v>
      </c>
      <c r="E4" s="6">
        <v>622</v>
      </c>
      <c r="G4" s="7" t="s">
        <v>12</v>
      </c>
      <c r="H4" s="8">
        <f>SUMIF(C4:C57, G4, E4:E57)</f>
        <v>10509</v>
      </c>
    </row>
    <row r="5" spans="1:8" ht="16.5" x14ac:dyDescent="0.3">
      <c r="A5" s="9" t="s">
        <v>13</v>
      </c>
      <c r="B5" s="10" t="s">
        <v>14</v>
      </c>
      <c r="C5" s="9" t="s">
        <v>12</v>
      </c>
      <c r="D5" s="9" t="s">
        <v>11</v>
      </c>
      <c r="E5" s="11">
        <v>416</v>
      </c>
      <c r="G5" s="7" t="s">
        <v>15</v>
      </c>
      <c r="H5" s="8">
        <f>SUMIF(C4:C57, G5, E4:E57)</f>
        <v>6597</v>
      </c>
    </row>
    <row r="6" spans="1:8" ht="16.5" x14ac:dyDescent="0.3">
      <c r="A6" s="4" t="s">
        <v>16</v>
      </c>
      <c r="B6" s="5" t="s">
        <v>17</v>
      </c>
      <c r="C6" s="4" t="s">
        <v>12</v>
      </c>
      <c r="D6" s="4" t="s">
        <v>18</v>
      </c>
      <c r="E6" s="6">
        <v>211</v>
      </c>
      <c r="G6" s="7" t="s">
        <v>10</v>
      </c>
      <c r="H6" s="8">
        <f>SUMIF(C4:C57, G6, E4:E57)</f>
        <v>7379</v>
      </c>
    </row>
    <row r="7" spans="1:8" ht="16.5" x14ac:dyDescent="0.3">
      <c r="A7" s="9" t="s">
        <v>19</v>
      </c>
      <c r="B7" s="10" t="s">
        <v>20</v>
      </c>
      <c r="C7" s="9" t="s">
        <v>12</v>
      </c>
      <c r="D7" s="9" t="s">
        <v>21</v>
      </c>
      <c r="E7" s="11">
        <v>714</v>
      </c>
      <c r="G7" s="7" t="s">
        <v>22</v>
      </c>
      <c r="H7" s="8">
        <f>SUMIF(C4:C57, G7, E4:E57)</f>
        <v>11130</v>
      </c>
    </row>
    <row r="8" spans="1:8" ht="16.5" x14ac:dyDescent="0.3">
      <c r="A8" s="4" t="s">
        <v>23</v>
      </c>
      <c r="B8" s="5" t="s">
        <v>14</v>
      </c>
      <c r="C8" s="4" t="s">
        <v>22</v>
      </c>
      <c r="D8" s="4" t="s">
        <v>18</v>
      </c>
      <c r="E8" s="6">
        <v>1073</v>
      </c>
      <c r="G8" s="12" t="s">
        <v>24</v>
      </c>
      <c r="H8" s="13">
        <f>SUM(H4:H7)</f>
        <v>35615</v>
      </c>
    </row>
    <row r="9" spans="1:8" ht="16.5" x14ac:dyDescent="0.3">
      <c r="A9" s="9" t="s">
        <v>25</v>
      </c>
      <c r="B9" s="10" t="s">
        <v>20</v>
      </c>
      <c r="C9" s="9" t="s">
        <v>12</v>
      </c>
      <c r="D9" s="9" t="s">
        <v>18</v>
      </c>
      <c r="E9" s="11">
        <v>878</v>
      </c>
    </row>
    <row r="10" spans="1:8" ht="16.5" x14ac:dyDescent="0.3">
      <c r="A10" s="4" t="s">
        <v>26</v>
      </c>
      <c r="B10" s="5" t="s">
        <v>27</v>
      </c>
      <c r="C10" s="4" t="s">
        <v>15</v>
      </c>
      <c r="D10" s="4" t="s">
        <v>28</v>
      </c>
      <c r="E10" s="6">
        <v>895</v>
      </c>
    </row>
    <row r="11" spans="1:8" ht="16.5" x14ac:dyDescent="0.3">
      <c r="A11" s="9" t="s">
        <v>29</v>
      </c>
      <c r="B11" s="10" t="s">
        <v>20</v>
      </c>
      <c r="C11" s="9" t="s">
        <v>10</v>
      </c>
      <c r="D11" s="9" t="s">
        <v>21</v>
      </c>
      <c r="E11" s="11">
        <v>858</v>
      </c>
    </row>
    <row r="12" spans="1:8" ht="16.5" x14ac:dyDescent="0.3">
      <c r="A12" s="4" t="s">
        <v>30</v>
      </c>
      <c r="B12" s="5" t="s">
        <v>9</v>
      </c>
      <c r="C12" s="4" t="s">
        <v>15</v>
      </c>
      <c r="D12" s="4" t="s">
        <v>11</v>
      </c>
      <c r="E12" s="6">
        <v>1051</v>
      </c>
    </row>
    <row r="13" spans="1:8" ht="16.5" x14ac:dyDescent="0.3">
      <c r="A13" s="9" t="s">
        <v>31</v>
      </c>
      <c r="B13" s="10" t="s">
        <v>32</v>
      </c>
      <c r="C13" s="9" t="s">
        <v>12</v>
      </c>
      <c r="D13" s="9" t="s">
        <v>18</v>
      </c>
      <c r="E13" s="11">
        <v>564</v>
      </c>
    </row>
    <row r="14" spans="1:8" ht="16.5" x14ac:dyDescent="0.3">
      <c r="A14" s="4" t="s">
        <v>33</v>
      </c>
      <c r="B14" s="5" t="s">
        <v>14</v>
      </c>
      <c r="C14" s="4" t="s">
        <v>10</v>
      </c>
      <c r="D14" s="4" t="s">
        <v>18</v>
      </c>
      <c r="E14" s="6">
        <v>910</v>
      </c>
    </row>
    <row r="15" spans="1:8" ht="16.5" x14ac:dyDescent="0.3">
      <c r="A15" s="9" t="s">
        <v>34</v>
      </c>
      <c r="B15" s="10" t="s">
        <v>32</v>
      </c>
      <c r="C15" s="9" t="s">
        <v>10</v>
      </c>
      <c r="D15" s="9" t="s">
        <v>18</v>
      </c>
      <c r="E15" s="11">
        <v>960</v>
      </c>
    </row>
    <row r="16" spans="1:8" ht="16.5" x14ac:dyDescent="0.3">
      <c r="A16" s="4" t="s">
        <v>35</v>
      </c>
      <c r="B16" s="5" t="s">
        <v>14</v>
      </c>
      <c r="C16" s="4" t="s">
        <v>15</v>
      </c>
      <c r="D16" s="4" t="s">
        <v>11</v>
      </c>
      <c r="E16" s="6">
        <v>632</v>
      </c>
    </row>
    <row r="17" spans="1:5" ht="16.5" x14ac:dyDescent="0.3">
      <c r="A17" s="9" t="s">
        <v>36</v>
      </c>
      <c r="B17" s="10" t="s">
        <v>27</v>
      </c>
      <c r="C17" s="9" t="s">
        <v>10</v>
      </c>
      <c r="D17" s="9" t="s">
        <v>11</v>
      </c>
      <c r="E17" s="11">
        <v>300</v>
      </c>
    </row>
    <row r="18" spans="1:5" ht="16.5" x14ac:dyDescent="0.3">
      <c r="A18" s="4" t="s">
        <v>37</v>
      </c>
      <c r="B18" s="5" t="s">
        <v>20</v>
      </c>
      <c r="C18" s="4" t="s">
        <v>15</v>
      </c>
      <c r="D18" s="4" t="s">
        <v>28</v>
      </c>
      <c r="E18" s="6">
        <v>154</v>
      </c>
    </row>
    <row r="19" spans="1:5" ht="16.5" x14ac:dyDescent="0.3">
      <c r="A19" s="9" t="s">
        <v>38</v>
      </c>
      <c r="B19" s="10" t="s">
        <v>20</v>
      </c>
      <c r="C19" s="9" t="s">
        <v>22</v>
      </c>
      <c r="D19" s="9" t="s">
        <v>11</v>
      </c>
      <c r="E19" s="11">
        <v>440</v>
      </c>
    </row>
    <row r="20" spans="1:5" ht="16.5" x14ac:dyDescent="0.3">
      <c r="A20" s="4" t="s">
        <v>39</v>
      </c>
      <c r="B20" s="5" t="s">
        <v>32</v>
      </c>
      <c r="C20" s="4" t="s">
        <v>15</v>
      </c>
      <c r="D20" s="4" t="s">
        <v>18</v>
      </c>
      <c r="E20" s="6">
        <v>477</v>
      </c>
    </row>
    <row r="21" spans="1:5" ht="16.5" x14ac:dyDescent="0.3">
      <c r="A21" s="9" t="s">
        <v>40</v>
      </c>
      <c r="B21" s="10" t="s">
        <v>20</v>
      </c>
      <c r="C21" s="9" t="s">
        <v>10</v>
      </c>
      <c r="D21" s="9" t="s">
        <v>18</v>
      </c>
      <c r="E21" s="11">
        <v>565</v>
      </c>
    </row>
    <row r="22" spans="1:5" ht="16.5" x14ac:dyDescent="0.3">
      <c r="A22" s="4" t="s">
        <v>41</v>
      </c>
      <c r="B22" s="5" t="s">
        <v>42</v>
      </c>
      <c r="C22" s="4" t="s">
        <v>12</v>
      </c>
      <c r="D22" s="4" t="s">
        <v>11</v>
      </c>
      <c r="E22" s="6">
        <v>1166</v>
      </c>
    </row>
    <row r="23" spans="1:5" ht="16.5" x14ac:dyDescent="0.3">
      <c r="A23" s="9" t="s">
        <v>43</v>
      </c>
      <c r="B23" s="10" t="s">
        <v>27</v>
      </c>
      <c r="C23" s="9" t="s">
        <v>22</v>
      </c>
      <c r="D23" s="9" t="s">
        <v>21</v>
      </c>
      <c r="E23" s="11">
        <v>885</v>
      </c>
    </row>
    <row r="24" spans="1:5" ht="16.5" x14ac:dyDescent="0.3">
      <c r="A24" s="4" t="s">
        <v>44</v>
      </c>
      <c r="B24" s="5" t="s">
        <v>42</v>
      </c>
      <c r="C24" s="4" t="s">
        <v>12</v>
      </c>
      <c r="D24" s="4" t="s">
        <v>18</v>
      </c>
      <c r="E24" s="6">
        <v>545</v>
      </c>
    </row>
    <row r="25" spans="1:5" ht="16.5" x14ac:dyDescent="0.3">
      <c r="A25" s="9" t="s">
        <v>45</v>
      </c>
      <c r="B25" s="10" t="s">
        <v>14</v>
      </c>
      <c r="C25" s="9" t="s">
        <v>22</v>
      </c>
      <c r="D25" s="9" t="s">
        <v>11</v>
      </c>
      <c r="E25" s="11">
        <v>492</v>
      </c>
    </row>
    <row r="26" spans="1:5" ht="16.5" x14ac:dyDescent="0.3">
      <c r="A26" s="4" t="s">
        <v>46</v>
      </c>
      <c r="B26" s="5" t="s">
        <v>17</v>
      </c>
      <c r="C26" s="4" t="s">
        <v>15</v>
      </c>
      <c r="D26" s="4" t="s">
        <v>21</v>
      </c>
      <c r="E26" s="6">
        <v>1050</v>
      </c>
    </row>
    <row r="27" spans="1:5" ht="16.5" x14ac:dyDescent="0.3">
      <c r="A27" s="9" t="s">
        <v>47</v>
      </c>
      <c r="B27" s="10" t="s">
        <v>42</v>
      </c>
      <c r="C27" s="9" t="s">
        <v>22</v>
      </c>
      <c r="D27" s="9" t="s">
        <v>21</v>
      </c>
      <c r="E27" s="11">
        <v>409</v>
      </c>
    </row>
    <row r="28" spans="1:5" ht="16.5" x14ac:dyDescent="0.3">
      <c r="A28" s="4" t="s">
        <v>48</v>
      </c>
      <c r="B28" s="5" t="s">
        <v>9</v>
      </c>
      <c r="C28" s="4" t="s">
        <v>22</v>
      </c>
      <c r="D28" s="4" t="s">
        <v>28</v>
      </c>
      <c r="E28" s="6">
        <v>767</v>
      </c>
    </row>
    <row r="29" spans="1:5" ht="16.5" x14ac:dyDescent="0.3">
      <c r="A29" s="9" t="s">
        <v>49</v>
      </c>
      <c r="B29" s="10" t="s">
        <v>9</v>
      </c>
      <c r="C29" s="9" t="s">
        <v>22</v>
      </c>
      <c r="D29" s="9" t="s">
        <v>28</v>
      </c>
      <c r="E29" s="11">
        <v>900</v>
      </c>
    </row>
    <row r="30" spans="1:5" ht="16.5" x14ac:dyDescent="0.3">
      <c r="A30" s="4" t="s">
        <v>50</v>
      </c>
      <c r="B30" s="5" t="s">
        <v>51</v>
      </c>
      <c r="C30" s="4" t="s">
        <v>22</v>
      </c>
      <c r="D30" s="4" t="s">
        <v>18</v>
      </c>
      <c r="E30" s="6">
        <v>835</v>
      </c>
    </row>
    <row r="31" spans="1:5" ht="16.5" x14ac:dyDescent="0.3">
      <c r="A31" s="9" t="s">
        <v>52</v>
      </c>
      <c r="B31" s="10" t="s">
        <v>14</v>
      </c>
      <c r="C31" s="9" t="s">
        <v>15</v>
      </c>
      <c r="D31" s="9" t="s">
        <v>28</v>
      </c>
      <c r="E31" s="11">
        <v>606</v>
      </c>
    </row>
    <row r="32" spans="1:5" ht="16.5" x14ac:dyDescent="0.3">
      <c r="A32" s="4" t="s">
        <v>53</v>
      </c>
      <c r="B32" s="5" t="s">
        <v>27</v>
      </c>
      <c r="C32" s="4" t="s">
        <v>10</v>
      </c>
      <c r="D32" s="4" t="s">
        <v>21</v>
      </c>
      <c r="E32" s="6">
        <v>920</v>
      </c>
    </row>
    <row r="33" spans="1:5" ht="16.5" x14ac:dyDescent="0.3">
      <c r="A33" s="9" t="s">
        <v>54</v>
      </c>
      <c r="B33" s="10" t="s">
        <v>14</v>
      </c>
      <c r="C33" s="9" t="s">
        <v>12</v>
      </c>
      <c r="D33" s="9" t="s">
        <v>18</v>
      </c>
      <c r="E33" s="11">
        <v>1021</v>
      </c>
    </row>
    <row r="34" spans="1:5" ht="16.5" x14ac:dyDescent="0.3">
      <c r="A34" s="4" t="s">
        <v>55</v>
      </c>
      <c r="B34" s="5" t="s">
        <v>27</v>
      </c>
      <c r="C34" s="4" t="s">
        <v>10</v>
      </c>
      <c r="D34" s="4" t="s">
        <v>28</v>
      </c>
      <c r="E34" s="6">
        <v>632</v>
      </c>
    </row>
    <row r="35" spans="1:5" ht="16.5" x14ac:dyDescent="0.3">
      <c r="A35" s="9" t="s">
        <v>56</v>
      </c>
      <c r="B35" s="10" t="s">
        <v>42</v>
      </c>
      <c r="C35" s="9" t="s">
        <v>12</v>
      </c>
      <c r="D35" s="9" t="s">
        <v>18</v>
      </c>
      <c r="E35" s="11">
        <v>1026</v>
      </c>
    </row>
    <row r="36" spans="1:5" ht="16.5" x14ac:dyDescent="0.3">
      <c r="A36" s="4" t="s">
        <v>57</v>
      </c>
      <c r="B36" s="5" t="s">
        <v>27</v>
      </c>
      <c r="C36" s="4" t="s">
        <v>10</v>
      </c>
      <c r="D36" s="4" t="s">
        <v>28</v>
      </c>
      <c r="E36" s="6">
        <v>228</v>
      </c>
    </row>
    <row r="37" spans="1:5" ht="16.5" x14ac:dyDescent="0.3">
      <c r="A37" s="9" t="s">
        <v>58</v>
      </c>
      <c r="B37" s="10" t="s">
        <v>42</v>
      </c>
      <c r="C37" s="9" t="s">
        <v>15</v>
      </c>
      <c r="D37" s="9" t="s">
        <v>28</v>
      </c>
      <c r="E37" s="11">
        <v>327</v>
      </c>
    </row>
    <row r="38" spans="1:5" ht="16.5" x14ac:dyDescent="0.3">
      <c r="A38" s="4" t="s">
        <v>59</v>
      </c>
      <c r="B38" s="5" t="s">
        <v>17</v>
      </c>
      <c r="C38" s="4" t="s">
        <v>22</v>
      </c>
      <c r="D38" s="4" t="s">
        <v>21</v>
      </c>
      <c r="E38" s="6">
        <v>777</v>
      </c>
    </row>
    <row r="39" spans="1:5" ht="16.5" x14ac:dyDescent="0.3">
      <c r="A39" s="9" t="s">
        <v>60</v>
      </c>
      <c r="B39" s="10" t="s">
        <v>27</v>
      </c>
      <c r="C39" s="9" t="s">
        <v>15</v>
      </c>
      <c r="D39" s="9" t="s">
        <v>28</v>
      </c>
      <c r="E39" s="11">
        <v>948</v>
      </c>
    </row>
    <row r="40" spans="1:5" ht="16.5" x14ac:dyDescent="0.3">
      <c r="A40" s="4" t="s">
        <v>61</v>
      </c>
      <c r="B40" s="5" t="s">
        <v>42</v>
      </c>
      <c r="C40" s="4" t="s">
        <v>22</v>
      </c>
      <c r="D40" s="4" t="s">
        <v>18</v>
      </c>
      <c r="E40" s="6">
        <v>1040</v>
      </c>
    </row>
    <row r="41" spans="1:5" ht="16.5" x14ac:dyDescent="0.3">
      <c r="A41" s="9" t="s">
        <v>62</v>
      </c>
      <c r="B41" s="10" t="s">
        <v>14</v>
      </c>
      <c r="C41" s="9" t="s">
        <v>12</v>
      </c>
      <c r="D41" s="9" t="s">
        <v>21</v>
      </c>
      <c r="E41" s="11">
        <v>379</v>
      </c>
    </row>
    <row r="42" spans="1:5" ht="16.5" x14ac:dyDescent="0.3">
      <c r="A42" s="4" t="s">
        <v>63</v>
      </c>
      <c r="B42" s="5" t="s">
        <v>42</v>
      </c>
      <c r="C42" s="4" t="s">
        <v>12</v>
      </c>
      <c r="D42" s="4" t="s">
        <v>11</v>
      </c>
      <c r="E42" s="6">
        <v>780</v>
      </c>
    </row>
    <row r="43" spans="1:5" ht="16.5" x14ac:dyDescent="0.3">
      <c r="A43" s="9" t="s">
        <v>64</v>
      </c>
      <c r="B43" s="10" t="s">
        <v>9</v>
      </c>
      <c r="C43" s="9" t="s">
        <v>15</v>
      </c>
      <c r="D43" s="9" t="s">
        <v>18</v>
      </c>
      <c r="E43" s="11">
        <v>218</v>
      </c>
    </row>
    <row r="44" spans="1:5" ht="16.5" x14ac:dyDescent="0.3">
      <c r="A44" s="4" t="s">
        <v>65</v>
      </c>
      <c r="B44" s="5" t="s">
        <v>42</v>
      </c>
      <c r="C44" s="4" t="s">
        <v>12</v>
      </c>
      <c r="D44" s="4" t="s">
        <v>21</v>
      </c>
      <c r="E44" s="6">
        <v>889</v>
      </c>
    </row>
    <row r="45" spans="1:5" ht="16.5" x14ac:dyDescent="0.3">
      <c r="A45" s="9" t="s">
        <v>66</v>
      </c>
      <c r="B45" s="10" t="s">
        <v>32</v>
      </c>
      <c r="C45" s="9" t="s">
        <v>15</v>
      </c>
      <c r="D45" s="9" t="s">
        <v>28</v>
      </c>
      <c r="E45" s="11">
        <v>239</v>
      </c>
    </row>
    <row r="46" spans="1:5" ht="16.5" x14ac:dyDescent="0.3">
      <c r="A46" s="4" t="s">
        <v>67</v>
      </c>
      <c r="B46" s="5" t="s">
        <v>42</v>
      </c>
      <c r="C46" s="4" t="s">
        <v>10</v>
      </c>
      <c r="D46" s="4" t="s">
        <v>11</v>
      </c>
      <c r="E46" s="6">
        <v>250</v>
      </c>
    </row>
    <row r="47" spans="1:5" ht="16.5" x14ac:dyDescent="0.3">
      <c r="A47" s="9" t="s">
        <v>68</v>
      </c>
      <c r="B47" s="10" t="s">
        <v>42</v>
      </c>
      <c r="C47" s="9" t="s">
        <v>12</v>
      </c>
      <c r="D47" s="9" t="s">
        <v>11</v>
      </c>
      <c r="E47" s="11">
        <v>160</v>
      </c>
    </row>
    <row r="48" spans="1:5" ht="16.5" x14ac:dyDescent="0.3">
      <c r="A48" s="4" t="s">
        <v>69</v>
      </c>
      <c r="B48" s="5" t="s">
        <v>27</v>
      </c>
      <c r="C48" s="4" t="s">
        <v>12</v>
      </c>
      <c r="D48" s="4" t="s">
        <v>21</v>
      </c>
      <c r="E48" s="6">
        <v>1130</v>
      </c>
    </row>
    <row r="49" spans="1:5" ht="16.5" x14ac:dyDescent="0.3">
      <c r="A49" s="9" t="s">
        <v>70</v>
      </c>
      <c r="B49" s="10" t="s">
        <v>42</v>
      </c>
      <c r="C49" s="9" t="s">
        <v>22</v>
      </c>
      <c r="D49" s="9" t="s">
        <v>18</v>
      </c>
      <c r="E49" s="11">
        <v>690</v>
      </c>
    </row>
    <row r="50" spans="1:5" ht="16.5" x14ac:dyDescent="0.3">
      <c r="A50" s="4" t="s">
        <v>71</v>
      </c>
      <c r="B50" s="5" t="s">
        <v>27</v>
      </c>
      <c r="C50" s="4" t="s">
        <v>22</v>
      </c>
      <c r="D50" s="4" t="s">
        <v>11</v>
      </c>
      <c r="E50" s="6">
        <v>638</v>
      </c>
    </row>
    <row r="51" spans="1:5" ht="16.5" x14ac:dyDescent="0.3">
      <c r="A51" s="9" t="s">
        <v>72</v>
      </c>
      <c r="B51" s="10" t="s">
        <v>32</v>
      </c>
      <c r="C51" s="9" t="s">
        <v>12</v>
      </c>
      <c r="D51" s="9" t="s">
        <v>28</v>
      </c>
      <c r="E51" s="11">
        <v>261</v>
      </c>
    </row>
    <row r="52" spans="1:5" ht="16.5" x14ac:dyDescent="0.3">
      <c r="A52" s="4" t="s">
        <v>73</v>
      </c>
      <c r="B52" s="5" t="s">
        <v>51</v>
      </c>
      <c r="C52" s="4" t="s">
        <v>22</v>
      </c>
      <c r="D52" s="4" t="s">
        <v>11</v>
      </c>
      <c r="E52" s="6">
        <v>909</v>
      </c>
    </row>
    <row r="53" spans="1:5" ht="16.5" x14ac:dyDescent="0.3">
      <c r="A53" s="9" t="s">
        <v>74</v>
      </c>
      <c r="B53" s="10" t="s">
        <v>20</v>
      </c>
      <c r="C53" s="9" t="s">
        <v>10</v>
      </c>
      <c r="D53" s="9" t="s">
        <v>11</v>
      </c>
      <c r="E53" s="11">
        <v>760</v>
      </c>
    </row>
    <row r="54" spans="1:5" ht="16.5" x14ac:dyDescent="0.3">
      <c r="A54" s="4" t="s">
        <v>75</v>
      </c>
      <c r="B54" s="5" t="s">
        <v>9</v>
      </c>
      <c r="C54" s="4" t="s">
        <v>22</v>
      </c>
      <c r="D54" s="4" t="s">
        <v>18</v>
      </c>
      <c r="E54" s="6">
        <v>256</v>
      </c>
    </row>
    <row r="55" spans="1:5" ht="16.5" x14ac:dyDescent="0.3">
      <c r="A55" s="9" t="s">
        <v>76</v>
      </c>
      <c r="B55" s="10" t="s">
        <v>51</v>
      </c>
      <c r="C55" s="9" t="s">
        <v>12</v>
      </c>
      <c r="D55" s="9" t="s">
        <v>21</v>
      </c>
      <c r="E55" s="11">
        <v>369</v>
      </c>
    </row>
    <row r="56" spans="1:5" ht="16.5" x14ac:dyDescent="0.3">
      <c r="A56" s="4" t="s">
        <v>77</v>
      </c>
      <c r="B56" s="5" t="s">
        <v>9</v>
      </c>
      <c r="C56" s="4" t="s">
        <v>22</v>
      </c>
      <c r="D56" s="4" t="s">
        <v>18</v>
      </c>
      <c r="E56" s="6">
        <v>1019</v>
      </c>
    </row>
    <row r="57" spans="1:5" ht="16.5" x14ac:dyDescent="0.3">
      <c r="A57" s="9" t="s">
        <v>78</v>
      </c>
      <c r="B57" s="10" t="s">
        <v>14</v>
      </c>
      <c r="C57" s="9" t="s">
        <v>10</v>
      </c>
      <c r="D57" s="9" t="s">
        <v>21</v>
      </c>
      <c r="E57" s="11">
        <v>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B10" sqref="B10"/>
    </sheetView>
  </sheetViews>
  <sheetFormatPr defaultRowHeight="15" x14ac:dyDescent="0.25"/>
  <cols>
    <col min="1" max="1" width="15" customWidth="1"/>
    <col min="2" max="5" width="143" customWidth="1"/>
    <col min="6" max="6" width="17" customWidth="1"/>
  </cols>
  <sheetData>
    <row r="1" spans="1:6" ht="16.5" x14ac:dyDescent="0.3">
      <c r="A1" s="1" t="s">
        <v>79</v>
      </c>
    </row>
    <row r="3" spans="1:6" ht="16.5" x14ac:dyDescent="0.3">
      <c r="A3" s="14" t="s">
        <v>6</v>
      </c>
      <c r="B3" s="14" t="s">
        <v>12</v>
      </c>
      <c r="C3" s="14" t="s">
        <v>15</v>
      </c>
      <c r="D3" s="14" t="s">
        <v>10</v>
      </c>
      <c r="E3" s="14" t="s">
        <v>22</v>
      </c>
      <c r="F3" s="14" t="s">
        <v>24</v>
      </c>
    </row>
    <row r="4" spans="1:6" ht="16.5" x14ac:dyDescent="0.3">
      <c r="A4" s="15" t="s">
        <v>27</v>
      </c>
      <c r="B4" s="16">
        <f>SUMIFS('Task 1 - Pivot City Amount'!$E$4:$E$57, 'Task 1 - Pivot City Amount'!$B$4:$B$57, A4, 'Task 1 - Pivot City Amount'!$C$4:$C$57, B3)</f>
        <v>1130</v>
      </c>
      <c r="C4" s="16">
        <f>SUMIFS('Task 1 - Pivot City Amount'!$E$4:$E$57, 'Task 1 - Pivot City Amount'!$B$4:$B$57, A4, 'Task 1 - Pivot City Amount'!$C$4:$C$57, C3)</f>
        <v>1843</v>
      </c>
      <c r="D4" s="16">
        <f>SUMIFS('Task 1 - Pivot City Amount'!$E$4:$E$57, 'Task 1 - Pivot City Amount'!$B$4:$B$57, A4, 'Task 1 - Pivot City Amount'!$C$4:$C$57, D3)</f>
        <v>2080</v>
      </c>
      <c r="E4" s="16">
        <f>SUMIFS('Task 1 - Pivot City Amount'!$E$4:$E$57, 'Task 1 - Pivot City Amount'!$B$4:$B$57, A4, 'Task 1 - Pivot City Amount'!$C$4:$C$57, E3)</f>
        <v>1523</v>
      </c>
      <c r="F4" s="17">
        <f t="shared" ref="F4:F11" si="0">SUM(B4:E4)</f>
        <v>6576</v>
      </c>
    </row>
    <row r="5" spans="1:6" ht="16.5" x14ac:dyDescent="0.3">
      <c r="A5" s="7" t="s">
        <v>20</v>
      </c>
      <c r="B5" s="8">
        <f>SUMIFS('Task 1 - Pivot City Amount'!$E$4:$E$57, 'Task 1 - Pivot City Amount'!$B$4:$B$57, A5, 'Task 1 - Pivot City Amount'!$C$4:$C$57, B3)</f>
        <v>1592</v>
      </c>
      <c r="C5" s="8">
        <f>SUMIFS('Task 1 - Pivot City Amount'!$E$4:$E$57, 'Task 1 - Pivot City Amount'!$B$4:$B$57, A5, 'Task 1 - Pivot City Amount'!$C$4:$C$57, C3)</f>
        <v>154</v>
      </c>
      <c r="D5" s="8">
        <f>SUMIFS('Task 1 - Pivot City Amount'!$E$4:$E$57, 'Task 1 - Pivot City Amount'!$B$4:$B$57, A5, 'Task 1 - Pivot City Amount'!$C$4:$C$57, D3)</f>
        <v>2183</v>
      </c>
      <c r="E5" s="8">
        <f>SUMIFS('Task 1 - Pivot City Amount'!$E$4:$E$57, 'Task 1 - Pivot City Amount'!$B$4:$B$57, A5, 'Task 1 - Pivot City Amount'!$C$4:$C$57, E3)</f>
        <v>440</v>
      </c>
      <c r="F5" s="18">
        <f t="shared" si="0"/>
        <v>4369</v>
      </c>
    </row>
    <row r="6" spans="1:6" ht="16.5" x14ac:dyDescent="0.3">
      <c r="A6" s="15" t="s">
        <v>42</v>
      </c>
      <c r="B6" s="16">
        <f>SUMIFS('Task 1 - Pivot City Amount'!$E$4:$E$57, 'Task 1 - Pivot City Amount'!$B$4:$B$57, A6, 'Task 1 - Pivot City Amount'!$C$4:$C$57, B3)</f>
        <v>4566</v>
      </c>
      <c r="C6" s="16">
        <f>SUMIFS('Task 1 - Pivot City Amount'!$E$4:$E$57, 'Task 1 - Pivot City Amount'!$B$4:$B$57, A6, 'Task 1 - Pivot City Amount'!$C$4:$C$57, C3)</f>
        <v>327</v>
      </c>
      <c r="D6" s="16">
        <f>SUMIFS('Task 1 - Pivot City Amount'!$E$4:$E$57, 'Task 1 - Pivot City Amount'!$B$4:$B$57, A6, 'Task 1 - Pivot City Amount'!$C$4:$C$57, D3)</f>
        <v>250</v>
      </c>
      <c r="E6" s="16">
        <f>SUMIFS('Task 1 - Pivot City Amount'!$E$4:$E$57, 'Task 1 - Pivot City Amount'!$B$4:$B$57, A6, 'Task 1 - Pivot City Amount'!$C$4:$C$57, E3)</f>
        <v>2139</v>
      </c>
      <c r="F6" s="17">
        <f t="shared" si="0"/>
        <v>7282</v>
      </c>
    </row>
    <row r="7" spans="1:6" ht="16.5" x14ac:dyDescent="0.3">
      <c r="A7" s="7" t="s">
        <v>51</v>
      </c>
      <c r="B7" s="8">
        <f>SUMIFS('Task 1 - Pivot City Amount'!$E$4:$E$57, 'Task 1 - Pivot City Amount'!$B$4:$B$57, A7, 'Task 1 - Pivot City Amount'!$C$4:$C$57, B3)</f>
        <v>369</v>
      </c>
      <c r="C7" s="8">
        <f>SUMIFS('Task 1 - Pivot City Amount'!$E$4:$E$57, 'Task 1 - Pivot City Amount'!$B$4:$B$57, A7, 'Task 1 - Pivot City Amount'!$C$4:$C$57, C3)</f>
        <v>0</v>
      </c>
      <c r="D7" s="8">
        <f>SUMIFS('Task 1 - Pivot City Amount'!$E$4:$E$57, 'Task 1 - Pivot City Amount'!$B$4:$B$57, A7, 'Task 1 - Pivot City Amount'!$C$4:$C$57, D3)</f>
        <v>0</v>
      </c>
      <c r="E7" s="8">
        <f>SUMIFS('Task 1 - Pivot City Amount'!$E$4:$E$57, 'Task 1 - Pivot City Amount'!$B$4:$B$57, A7, 'Task 1 - Pivot City Amount'!$C$4:$C$57, E3)</f>
        <v>1744</v>
      </c>
      <c r="F7" s="18">
        <f t="shared" si="0"/>
        <v>2113</v>
      </c>
    </row>
    <row r="8" spans="1:6" ht="16.5" x14ac:dyDescent="0.3">
      <c r="A8" s="15" t="s">
        <v>17</v>
      </c>
      <c r="B8" s="16">
        <f>SUMIFS('Task 1 - Pivot City Amount'!$E$4:$E$57, 'Task 1 - Pivot City Amount'!$B$4:$B$57, A8, 'Task 1 - Pivot City Amount'!$C$4:$C$57, B3)</f>
        <v>211</v>
      </c>
      <c r="C8" s="16">
        <f>SUMIFS('Task 1 - Pivot City Amount'!$E$4:$E$57, 'Task 1 - Pivot City Amount'!$B$4:$B$57, A8, 'Task 1 - Pivot City Amount'!$C$4:$C$57, C3)</f>
        <v>1050</v>
      </c>
      <c r="D8" s="16">
        <f>SUMIFS('Task 1 - Pivot City Amount'!$E$4:$E$57, 'Task 1 - Pivot City Amount'!$B$4:$B$57, A8, 'Task 1 - Pivot City Amount'!$C$4:$C$57, D3)</f>
        <v>0</v>
      </c>
      <c r="E8" s="16">
        <f>SUMIFS('Task 1 - Pivot City Amount'!$E$4:$E$57, 'Task 1 - Pivot City Amount'!$B$4:$B$57, A8, 'Task 1 - Pivot City Amount'!$C$4:$C$57, E3)</f>
        <v>777</v>
      </c>
      <c r="F8" s="17">
        <f t="shared" si="0"/>
        <v>2038</v>
      </c>
    </row>
    <row r="9" spans="1:6" ht="16.5" x14ac:dyDescent="0.3">
      <c r="A9" s="7" t="s">
        <v>9</v>
      </c>
      <c r="B9" s="8">
        <f>SUMIFS('Task 1 - Pivot City Amount'!$E$4:$E$57, 'Task 1 - Pivot City Amount'!$B$4:$B$57, A9, 'Task 1 - Pivot City Amount'!$C$4:$C$57, B3)</f>
        <v>0</v>
      </c>
      <c r="C9" s="8">
        <f>SUMIFS('Task 1 - Pivot City Amount'!$E$4:$E$57, 'Task 1 - Pivot City Amount'!$B$4:$B$57, A9, 'Task 1 - Pivot City Amount'!$C$4:$C$57, C3)</f>
        <v>1269</v>
      </c>
      <c r="D9" s="8">
        <f>SUMIFS('Task 1 - Pivot City Amount'!$E$4:$E$57, 'Task 1 - Pivot City Amount'!$B$4:$B$57, A9, 'Task 1 - Pivot City Amount'!$C$4:$C$57, D3)</f>
        <v>622</v>
      </c>
      <c r="E9" s="8">
        <f>SUMIFS('Task 1 - Pivot City Amount'!$E$4:$E$57, 'Task 1 - Pivot City Amount'!$B$4:$B$57, A9, 'Task 1 - Pivot City Amount'!$C$4:$C$57, E3)</f>
        <v>2942</v>
      </c>
      <c r="F9" s="18">
        <f t="shared" si="0"/>
        <v>4833</v>
      </c>
    </row>
    <row r="10" spans="1:6" ht="16.5" x14ac:dyDescent="0.3">
      <c r="A10" s="15" t="s">
        <v>32</v>
      </c>
      <c r="B10" s="16">
        <f>SUMIFS('Task 1 - Pivot City Amount'!$E$4:$E$57, 'Task 1 - Pivot City Amount'!$B$4:$B$57, A10, 'Task 1 - Pivot City Amount'!$C$4:$C$57, B3)</f>
        <v>825</v>
      </c>
      <c r="C10" s="16">
        <f>SUMIFS('Task 1 - Pivot City Amount'!$E$4:$E$57, 'Task 1 - Pivot City Amount'!$B$4:$B$57, A10, 'Task 1 - Pivot City Amount'!$C$4:$C$57, C3)</f>
        <v>716</v>
      </c>
      <c r="D10" s="16">
        <f>SUMIFS('Task 1 - Pivot City Amount'!$E$4:$E$57, 'Task 1 - Pivot City Amount'!$B$4:$B$57, A10, 'Task 1 - Pivot City Amount'!$C$4:$C$57, D3)</f>
        <v>960</v>
      </c>
      <c r="E10" s="16">
        <f>SUMIFS('Task 1 - Pivot City Amount'!$E$4:$E$57, 'Task 1 - Pivot City Amount'!$B$4:$B$57, A10, 'Task 1 - Pivot City Amount'!$C$4:$C$57, E3)</f>
        <v>0</v>
      </c>
      <c r="F10" s="17">
        <f t="shared" si="0"/>
        <v>2501</v>
      </c>
    </row>
    <row r="11" spans="1:6" ht="16.5" x14ac:dyDescent="0.3">
      <c r="A11" s="7" t="s">
        <v>14</v>
      </c>
      <c r="B11" s="8">
        <f>SUMIFS('Task 1 - Pivot City Amount'!$E$4:$E$57, 'Task 1 - Pivot City Amount'!$B$4:$B$57, A11, 'Task 1 - Pivot City Amount'!$C$4:$C$57, B3)</f>
        <v>1816</v>
      </c>
      <c r="C11" s="8">
        <f>SUMIFS('Task 1 - Pivot City Amount'!$E$4:$E$57, 'Task 1 - Pivot City Amount'!$B$4:$B$57, A11, 'Task 1 - Pivot City Amount'!$C$4:$C$57, C3)</f>
        <v>1238</v>
      </c>
      <c r="D11" s="8">
        <f>SUMIFS('Task 1 - Pivot City Amount'!$E$4:$E$57, 'Task 1 - Pivot City Amount'!$B$4:$B$57, A11, 'Task 1 - Pivot City Amount'!$C$4:$C$57, D3)</f>
        <v>1284</v>
      </c>
      <c r="E11" s="8">
        <f>SUMIFS('Task 1 - Pivot City Amount'!$E$4:$E$57, 'Task 1 - Pivot City Amount'!$B$4:$B$57, A11, 'Task 1 - Pivot City Amount'!$C$4:$C$57, E3)</f>
        <v>1565</v>
      </c>
      <c r="F11" s="18">
        <f t="shared" si="0"/>
        <v>5903</v>
      </c>
    </row>
    <row r="12" spans="1:6" ht="16.5" x14ac:dyDescent="0.3">
      <c r="A12" s="12" t="s">
        <v>24</v>
      </c>
      <c r="B12" s="13">
        <f>SUM(B4:B11)</f>
        <v>10509</v>
      </c>
      <c r="C12" s="13">
        <f>SUM(C4:C11)</f>
        <v>6597</v>
      </c>
      <c r="D12" s="13">
        <f>SUM(D4:D11)</f>
        <v>7379</v>
      </c>
      <c r="E12" s="13">
        <f>SUM(E4:E11)</f>
        <v>11130</v>
      </c>
      <c r="F12" s="13">
        <f>SUM(F4:F11)</f>
        <v>35615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7" sqref="B7"/>
    </sheetView>
  </sheetViews>
  <sheetFormatPr defaultRowHeight="15" x14ac:dyDescent="0.25"/>
  <cols>
    <col min="1" max="1" width="15" customWidth="1"/>
    <col min="2" max="2" width="53" customWidth="1"/>
  </cols>
  <sheetData>
    <row r="1" spans="1:2" ht="16.5" x14ac:dyDescent="0.3">
      <c r="A1" s="1" t="s">
        <v>80</v>
      </c>
    </row>
    <row r="3" spans="1:2" ht="16.5" x14ac:dyDescent="0.3">
      <c r="A3" s="3" t="s">
        <v>6</v>
      </c>
      <c r="B3" s="3" t="s">
        <v>81</v>
      </c>
    </row>
    <row r="4" spans="1:2" x14ac:dyDescent="0.25">
      <c r="A4" s="15" t="s">
        <v>28</v>
      </c>
      <c r="B4" s="19">
        <f>COUNTIF('Task 1 - Pivot City Amount'!D4:D57, A4)</f>
        <v>11</v>
      </c>
    </row>
    <row r="5" spans="1:2" x14ac:dyDescent="0.25">
      <c r="A5" s="7" t="s">
        <v>11</v>
      </c>
      <c r="B5" s="20">
        <f>COUNTIF('Task 1 - Pivot City Amount'!D4:D57, A5)</f>
        <v>14</v>
      </c>
    </row>
    <row r="6" spans="1:2" x14ac:dyDescent="0.25">
      <c r="A6" s="15" t="s">
        <v>18</v>
      </c>
      <c r="B6" s="19">
        <f>COUNTIF('Task 1 - Pivot City Amount'!D4:D57, A6)</f>
        <v>17</v>
      </c>
    </row>
    <row r="7" spans="1:2" x14ac:dyDescent="0.25">
      <c r="A7" s="7" t="s">
        <v>21</v>
      </c>
      <c r="B7" s="20">
        <f>COUNTIF('Task 1 - Pivot City Amount'!D4:D57, A7)</f>
        <v>12</v>
      </c>
    </row>
    <row r="8" spans="1:2" ht="16.5" x14ac:dyDescent="0.3">
      <c r="A8" s="12" t="s">
        <v>24</v>
      </c>
      <c r="B8" s="21">
        <f>SUM(B4:B7)</f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>
      <selection activeCell="B9" sqref="B9"/>
    </sheetView>
  </sheetViews>
  <sheetFormatPr defaultRowHeight="15" x14ac:dyDescent="0.25"/>
  <cols>
    <col min="1" max="2" width="18" customWidth="1"/>
  </cols>
  <sheetData>
    <row r="1" spans="1:2" ht="16.5" x14ac:dyDescent="0.3">
      <c r="A1" s="1" t="s">
        <v>82</v>
      </c>
    </row>
    <row r="3" spans="1:2" ht="16.5" x14ac:dyDescent="0.3">
      <c r="A3" s="22" t="s">
        <v>3</v>
      </c>
      <c r="B3" s="23" t="s">
        <v>12</v>
      </c>
    </row>
    <row r="5" spans="1:2" ht="16.5" x14ac:dyDescent="0.3">
      <c r="A5" s="3" t="s">
        <v>6</v>
      </c>
      <c r="B5" s="3" t="s">
        <v>7</v>
      </c>
    </row>
    <row r="6" spans="1:2" x14ac:dyDescent="0.25">
      <c r="A6" s="15" t="s">
        <v>27</v>
      </c>
      <c r="B6" s="16">
        <f>SUMIFS('Task 1 - Pivot City Amount'!$E$4:$E$57, 'Task 1 - Pivot City Amount'!$B$4:$B$57, A6, 'Task 1 - Pivot City Amount'!$C$4:$C$57, $B$3)</f>
        <v>1130</v>
      </c>
    </row>
    <row r="7" spans="1:2" x14ac:dyDescent="0.25">
      <c r="A7" s="7" t="s">
        <v>20</v>
      </c>
      <c r="B7" s="8">
        <f>SUMIFS('Task 1 - Pivot City Amount'!$E$4:$E$57, 'Task 1 - Pivot City Amount'!$B$4:$B$57, A7, 'Task 1 - Pivot City Amount'!$C$4:$C$57, $B$3)</f>
        <v>1592</v>
      </c>
    </row>
    <row r="8" spans="1:2" x14ac:dyDescent="0.25">
      <c r="A8" s="15" t="s">
        <v>42</v>
      </c>
      <c r="B8" s="16">
        <f>SUMIFS('Task 1 - Pivot City Amount'!$E$4:$E$57, 'Task 1 - Pivot City Amount'!$B$4:$B$57, A8, 'Task 1 - Pivot City Amount'!$C$4:$C$57, $B$3)</f>
        <v>4566</v>
      </c>
    </row>
    <row r="9" spans="1:2" x14ac:dyDescent="0.25">
      <c r="A9" s="7" t="s">
        <v>51</v>
      </c>
      <c r="B9" s="8">
        <f>SUMIFS('Task 1 - Pivot City Amount'!$E$4:$E$57, 'Task 1 - Pivot City Amount'!$B$4:$B$57, A9, 'Task 1 - Pivot City Amount'!$C$4:$C$57, $B$3)</f>
        <v>369</v>
      </c>
    </row>
    <row r="10" spans="1:2" x14ac:dyDescent="0.25">
      <c r="A10" s="15" t="s">
        <v>17</v>
      </c>
      <c r="B10" s="16">
        <f>SUMIFS('Task 1 - Pivot City Amount'!$E$4:$E$57, 'Task 1 - Pivot City Amount'!$B$4:$B$57, A10, 'Task 1 - Pivot City Amount'!$C$4:$C$57, $B$3)</f>
        <v>211</v>
      </c>
    </row>
    <row r="11" spans="1:2" x14ac:dyDescent="0.25">
      <c r="A11" s="7" t="s">
        <v>9</v>
      </c>
      <c r="B11" s="8">
        <f>SUMIFS('Task 1 - Pivot City Amount'!$E$4:$E$57, 'Task 1 - Pivot City Amount'!$B$4:$B$57, A11, 'Task 1 - Pivot City Amount'!$C$4:$C$57, $B$3)</f>
        <v>0</v>
      </c>
    </row>
    <row r="12" spans="1:2" x14ac:dyDescent="0.25">
      <c r="A12" s="15" t="s">
        <v>32</v>
      </c>
      <c r="B12" s="16">
        <f>SUMIFS('Task 1 - Pivot City Amount'!$E$4:$E$57, 'Task 1 - Pivot City Amount'!$B$4:$B$57, A12, 'Task 1 - Pivot City Amount'!$C$4:$C$57, $B$3)</f>
        <v>825</v>
      </c>
    </row>
    <row r="13" spans="1:2" x14ac:dyDescent="0.25">
      <c r="A13" s="7" t="s">
        <v>14</v>
      </c>
      <c r="B13" s="8">
        <f>SUMIFS('Task 1 - Pivot City Amount'!$E$4:$E$57, 'Task 1 - Pivot City Amount'!$B$4:$B$57, A13, 'Task 1 - Pivot City Amount'!$C$4:$C$57, $B$3)</f>
        <v>1816</v>
      </c>
    </row>
    <row r="14" spans="1:2" ht="16.5" x14ac:dyDescent="0.3">
      <c r="A14" s="12" t="s">
        <v>24</v>
      </c>
      <c r="B14" s="13">
        <f>SUM(B6:B13)</f>
        <v>10509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1 - Pivot City Amount</vt:lpstr>
      <vt:lpstr>Task 2 - Matrix Breakdown</vt:lpstr>
      <vt:lpstr>Task 3 - Partner Order Counts</vt:lpstr>
      <vt:lpstr>Task 4 - Filtered City 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kunjan patel</cp:lastModifiedBy>
  <dcterms:created xsi:type="dcterms:W3CDTF">2026-07-08T09:58:55Z</dcterms:created>
  <dcterms:modified xsi:type="dcterms:W3CDTF">2026-07-08T10:04:44Z</dcterms:modified>
</cp:coreProperties>
</file>