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1 - Pivot Restaurant Sales" sheetId="1" state="visible" r:id="rId1"/>
    <sheet xmlns:r="http://schemas.openxmlformats.org/officeDocument/2006/relationships" name="Task 2 - Pivot Bar Chart" sheetId="2" state="visible" r:id="rId2"/>
    <sheet xmlns:r="http://schemas.openxmlformats.org/officeDocument/2006/relationships" name="Task 3 - Month Slicer" sheetId="3" state="visible" r:id="rId3"/>
    <sheet xmlns:r="http://schemas.openxmlformats.org/officeDocument/2006/relationships" name="Task 4 - Pie Share Chart" sheetId="4" state="visible" r:id="rId4"/>
    <sheet xmlns:r="http://schemas.openxmlformats.org/officeDocument/2006/relationships" name="Task 5 - Interactive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₹#,##0"/>
  </numFmts>
  <fonts count="6">
    <font>
      <name val="Calibri"/>
      <family val="2"/>
      <color theme="1"/>
      <sz val="11"/>
      <scheme val="minor"/>
    </font>
    <font>
      <name val="Segoe UI"/>
      <b val="1"/>
      <color rgb="00000000"/>
      <sz val="11"/>
    </font>
    <font>
      <name val="Segoe UI"/>
      <sz val="11"/>
    </font>
    <font>
      <name val="Segoe UI"/>
      <b val="1"/>
      <color rgb="00FFFFFF"/>
      <sz val="11"/>
    </font>
    <font>
      <name val="Segoe UI"/>
      <b val="1"/>
      <sz val="11"/>
    </font>
    <font>
      <name val="Segoe UI"/>
      <b val="1"/>
      <color rgb="001F497D"/>
      <sz val="12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4F8"/>
        <bgColor rgb="00F2F4F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3" fillId="2" borderId="0" pivotButton="0" quotePrefix="0" xfId="0"/>
    <xf numFmtId="0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6" fontId="2" fillId="3" borderId="1" applyAlignment="1" pivotButton="0" quotePrefix="0" xfId="0">
      <alignment horizontal="right"/>
    </xf>
    <xf numFmtId="0" fontId="0" fillId="0" borderId="1" pivotButton="0" quotePrefix="0" xfId="0"/>
    <xf numFmtId="166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6" fontId="2" fillId="0" borderId="1" applyAlignment="1" pivotButton="0" quotePrefix="0" xfId="0">
      <alignment horizontal="right"/>
    </xf>
    <xf numFmtId="0" fontId="4" fillId="4" borderId="2" pivotButton="0" quotePrefix="0" xfId="0"/>
    <xf numFmtId="166" fontId="4" fillId="4" borderId="2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5" borderId="1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Restaurant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'Task 2 - Pivot Bar Chart'!B3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'Task 2 - Pivot Bar Chart'!$A$4:$A$7</f>
            </numRef>
          </cat>
          <val>
            <numRef>
              <f>'Task 2 - Pivot Bar Chart'!$B$4:$B$7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Restaurant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Percentage</a:t>
            </a:r>
          </a:p>
        </rich>
      </tx>
    </title>
    <plotArea>
      <pieChart>
        <varyColors val="1"/>
        <ser>
          <idx val="0"/>
          <order val="0"/>
          <tx>
            <strRef>
              <f>'Task 4 - Pie Share Chart'!B3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'Task 4 - Pie Share Chart'!$A$4:$A$7</f>
            </numRef>
          </cat>
          <val>
            <numRef>
              <f>'Task 4 - Pie Share Chart'!$B$4:$B$7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Trends</a:t>
            </a:r>
          </a:p>
        </rich>
      </tx>
    </title>
    <plotArea>
      <lineChart>
        <grouping val="standard"/>
        <ser>
          <idx val="0"/>
          <order val="0"/>
          <tx>
            <strRef>
              <f>'Task 5 - Interactive Dashboard'!B5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 5 - Interactive Dashboard'!$A$6:$A$9</f>
            </numRef>
          </cat>
          <val>
            <numRef>
              <f>'Task 5 - Interactive Dashboard'!$B$6:$B$9</f>
            </numRef>
          </val>
        </ser>
        <ser>
          <idx val="1"/>
          <order val="1"/>
          <tx>
            <strRef>
              <f>'Task 5 - Interactive Dashboard'!C5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 5 - Interactive Dashboard'!$A$6:$A$9</f>
            </numRef>
          </cat>
          <val>
            <numRef>
              <f>'Task 5 - Interactive Dashboard'!$C$6:$C$9</f>
            </numRef>
          </val>
        </ser>
        <ser>
          <idx val="2"/>
          <order val="2"/>
          <tx>
            <strRef>
              <f>'Task 5 - Interactive Dashboard'!D5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'Task 5 - Interactive Dashboard'!$A$6:$A$9</f>
            </numRef>
          </cat>
          <val>
            <numRef>
              <f>'Task 5 - Interactive Dashboard'!$D$6:$D$9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16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Task 1: Download a sample food delivery dataset (orders, restaurant names, order dates, total amount) and create a Pivot Table to summarize total sales per restaurant.</t>
        </is>
      </c>
    </row>
    <row r="2"/>
    <row r="3">
      <c r="A3" s="2" t="inlineStr">
        <is>
          <t>Order ID</t>
        </is>
      </c>
      <c r="B3" s="2" t="inlineStr">
        <is>
          <t>Order Date</t>
        </is>
      </c>
      <c r="C3" s="2" t="inlineStr">
        <is>
          <t>Month</t>
        </is>
      </c>
      <c r="D3" s="2" t="inlineStr">
        <is>
          <t>Restaurant Name</t>
        </is>
      </c>
      <c r="E3" s="2" t="inlineStr">
        <is>
          <t>Total Amount</t>
        </is>
      </c>
      <c r="G3" s="3" t="inlineStr">
        <is>
          <t>Row Labels</t>
        </is>
      </c>
      <c r="H3" s="3" t="inlineStr">
        <is>
          <t>Sum of Total Amount</t>
        </is>
      </c>
    </row>
    <row r="4">
      <c r="A4" s="4" t="inlineStr">
        <is>
          <t>ZOM-ORD-001</t>
        </is>
      </c>
      <c r="B4" s="5" t="n">
        <v>46023</v>
      </c>
      <c r="C4" s="4" t="inlineStr">
        <is>
          <t>January</t>
        </is>
      </c>
      <c r="D4" s="6" t="inlineStr">
        <is>
          <t>McDonalds</t>
        </is>
      </c>
      <c r="E4" s="7" t="n">
        <v>1012</v>
      </c>
      <c r="G4" s="8" t="inlineStr">
        <is>
          <t>Burger King</t>
        </is>
      </c>
      <c r="H4" s="9">
        <f>SUMIF(D4:D63, G4, E4:E63)</f>
        <v/>
      </c>
    </row>
    <row r="5">
      <c r="A5" s="10" t="inlineStr">
        <is>
          <t>ZOM-ORD-002</t>
        </is>
      </c>
      <c r="B5" s="11" t="n">
        <v>46027</v>
      </c>
      <c r="C5" s="10" t="inlineStr">
        <is>
          <t>January</t>
        </is>
      </c>
      <c r="D5" s="12" t="inlineStr">
        <is>
          <t>Subway</t>
        </is>
      </c>
      <c r="E5" s="13" t="n">
        <v>905</v>
      </c>
      <c r="G5" s="8" t="inlineStr">
        <is>
          <t>La Pinoz</t>
        </is>
      </c>
      <c r="H5" s="9">
        <f>SUMIF(D4:D63, G5, E4:E63)</f>
        <v/>
      </c>
    </row>
    <row r="6">
      <c r="A6" s="4" t="inlineStr">
        <is>
          <t>ZOM-ORD-003</t>
        </is>
      </c>
      <c r="B6" s="5" t="n">
        <v>46031</v>
      </c>
      <c r="C6" s="4" t="inlineStr">
        <is>
          <t>January</t>
        </is>
      </c>
      <c r="D6" s="6" t="inlineStr">
        <is>
          <t>La Pinoz</t>
        </is>
      </c>
      <c r="E6" s="7" t="n">
        <v>307</v>
      </c>
      <c r="G6" s="8" t="inlineStr">
        <is>
          <t>McDonalds</t>
        </is>
      </c>
      <c r="H6" s="9">
        <f>SUMIF(D4:D63, G6, E4:E63)</f>
        <v/>
      </c>
    </row>
    <row r="7">
      <c r="A7" s="10" t="inlineStr">
        <is>
          <t>ZOM-ORD-004</t>
        </is>
      </c>
      <c r="B7" s="11" t="n">
        <v>46037</v>
      </c>
      <c r="C7" s="10" t="inlineStr">
        <is>
          <t>January</t>
        </is>
      </c>
      <c r="D7" s="12" t="inlineStr">
        <is>
          <t>Burger King</t>
        </is>
      </c>
      <c r="E7" s="13" t="n">
        <v>462</v>
      </c>
      <c r="G7" s="8" t="inlineStr">
        <is>
          <t>Subway</t>
        </is>
      </c>
      <c r="H7" s="9">
        <f>SUMIF(D4:D63, G7, E4:E63)</f>
        <v/>
      </c>
    </row>
    <row r="8">
      <c r="A8" s="4" t="inlineStr">
        <is>
          <t>ZOM-ORD-005</t>
        </is>
      </c>
      <c r="B8" s="5" t="n">
        <v>46038</v>
      </c>
      <c r="C8" s="4" t="inlineStr">
        <is>
          <t>January</t>
        </is>
      </c>
      <c r="D8" s="6" t="inlineStr">
        <is>
          <t>McDonalds</t>
        </is>
      </c>
      <c r="E8" s="7" t="n">
        <v>980</v>
      </c>
      <c r="G8" s="14" t="inlineStr">
        <is>
          <t>Grand Total</t>
        </is>
      </c>
      <c r="H8" s="15">
        <f>SUM(H4:H7)</f>
        <v/>
      </c>
    </row>
    <row r="9">
      <c r="A9" s="10" t="inlineStr">
        <is>
          <t>ZOM-ORD-006</t>
        </is>
      </c>
      <c r="B9" s="11" t="n">
        <v>46039</v>
      </c>
      <c r="C9" s="10" t="inlineStr">
        <is>
          <t>January</t>
        </is>
      </c>
      <c r="D9" s="12" t="inlineStr">
        <is>
          <t>McDonalds</t>
        </is>
      </c>
      <c r="E9" s="13" t="n">
        <v>395</v>
      </c>
    </row>
    <row r="10">
      <c r="A10" s="4" t="inlineStr">
        <is>
          <t>ZOM-ORD-007</t>
        </is>
      </c>
      <c r="B10" s="5" t="n">
        <v>46039</v>
      </c>
      <c r="C10" s="4" t="inlineStr">
        <is>
          <t>January</t>
        </is>
      </c>
      <c r="D10" s="6" t="inlineStr">
        <is>
          <t>La Pinoz</t>
        </is>
      </c>
      <c r="E10" s="7" t="n">
        <v>1286</v>
      </c>
    </row>
    <row r="11">
      <c r="A11" s="10" t="inlineStr">
        <is>
          <t>ZOM-ORD-008</t>
        </is>
      </c>
      <c r="B11" s="11" t="n">
        <v>46040</v>
      </c>
      <c r="C11" s="10" t="inlineStr">
        <is>
          <t>January</t>
        </is>
      </c>
      <c r="D11" s="12" t="inlineStr">
        <is>
          <t>La Pinoz</t>
        </is>
      </c>
      <c r="E11" s="13" t="n">
        <v>697</v>
      </c>
    </row>
    <row r="12">
      <c r="A12" s="4" t="inlineStr">
        <is>
          <t>ZOM-ORD-009</t>
        </is>
      </c>
      <c r="B12" s="5" t="n">
        <v>46041</v>
      </c>
      <c r="C12" s="4" t="inlineStr">
        <is>
          <t>January</t>
        </is>
      </c>
      <c r="D12" s="6" t="inlineStr">
        <is>
          <t>Burger King</t>
        </is>
      </c>
      <c r="E12" s="7" t="n">
        <v>1166</v>
      </c>
    </row>
    <row r="13">
      <c r="A13" s="10" t="inlineStr">
        <is>
          <t>ZOM-ORD-010</t>
        </is>
      </c>
      <c r="B13" s="11" t="n">
        <v>46041</v>
      </c>
      <c r="C13" s="10" t="inlineStr">
        <is>
          <t>January</t>
        </is>
      </c>
      <c r="D13" s="12" t="inlineStr">
        <is>
          <t>McDonalds</t>
        </is>
      </c>
      <c r="E13" s="13" t="n">
        <v>572</v>
      </c>
    </row>
    <row r="14">
      <c r="A14" s="4" t="inlineStr">
        <is>
          <t>ZOM-ORD-011</t>
        </is>
      </c>
      <c r="B14" s="5" t="n">
        <v>46043</v>
      </c>
      <c r="C14" s="4" t="inlineStr">
        <is>
          <t>January</t>
        </is>
      </c>
      <c r="D14" s="6" t="inlineStr">
        <is>
          <t>Subway</t>
        </is>
      </c>
      <c r="E14" s="7" t="n">
        <v>518</v>
      </c>
    </row>
    <row r="15">
      <c r="A15" s="10" t="inlineStr">
        <is>
          <t>ZOM-ORD-012</t>
        </is>
      </c>
      <c r="B15" s="11" t="n">
        <v>46044</v>
      </c>
      <c r="C15" s="10" t="inlineStr">
        <is>
          <t>January</t>
        </is>
      </c>
      <c r="D15" s="12" t="inlineStr">
        <is>
          <t>Burger King</t>
        </is>
      </c>
      <c r="E15" s="13" t="n">
        <v>1048</v>
      </c>
    </row>
    <row r="16">
      <c r="A16" s="4" t="inlineStr">
        <is>
          <t>ZOM-ORD-013</t>
        </is>
      </c>
      <c r="B16" s="5" t="n">
        <v>46051</v>
      </c>
      <c r="C16" s="4" t="inlineStr">
        <is>
          <t>January</t>
        </is>
      </c>
      <c r="D16" s="6" t="inlineStr">
        <is>
          <t>La Pinoz</t>
        </is>
      </c>
      <c r="E16" s="7" t="n">
        <v>842</v>
      </c>
    </row>
    <row r="17">
      <c r="A17" s="10" t="inlineStr">
        <is>
          <t>ZOM-ORD-014</t>
        </is>
      </c>
      <c r="B17" s="11" t="n">
        <v>46051</v>
      </c>
      <c r="C17" s="10" t="inlineStr">
        <is>
          <t>January</t>
        </is>
      </c>
      <c r="D17" s="12" t="inlineStr">
        <is>
          <t>La Pinoz</t>
        </is>
      </c>
      <c r="E17" s="13" t="n">
        <v>1265</v>
      </c>
    </row>
    <row r="18">
      <c r="A18" s="4" t="inlineStr">
        <is>
          <t>ZOM-ORD-015</t>
        </is>
      </c>
      <c r="B18" s="5" t="n">
        <v>46053</v>
      </c>
      <c r="C18" s="4" t="inlineStr">
        <is>
          <t>January</t>
        </is>
      </c>
      <c r="D18" s="6" t="inlineStr">
        <is>
          <t>Burger King</t>
        </is>
      </c>
      <c r="E18" s="7" t="n">
        <v>1204</v>
      </c>
    </row>
    <row r="19">
      <c r="A19" s="10" t="inlineStr">
        <is>
          <t>ZOM-ORD-016</t>
        </is>
      </c>
      <c r="B19" s="11" t="n">
        <v>46054</v>
      </c>
      <c r="C19" s="10" t="inlineStr">
        <is>
          <t>February</t>
        </is>
      </c>
      <c r="D19" s="12" t="inlineStr">
        <is>
          <t>Burger King</t>
        </is>
      </c>
      <c r="E19" s="13" t="n">
        <v>443</v>
      </c>
    </row>
    <row r="20">
      <c r="A20" s="4" t="inlineStr">
        <is>
          <t>ZOM-ORD-017</t>
        </is>
      </c>
      <c r="B20" s="5" t="n">
        <v>46054</v>
      </c>
      <c r="C20" s="4" t="inlineStr">
        <is>
          <t>February</t>
        </is>
      </c>
      <c r="D20" s="6" t="inlineStr">
        <is>
          <t>Subway</t>
        </is>
      </c>
      <c r="E20" s="7" t="n">
        <v>1075</v>
      </c>
    </row>
    <row r="21">
      <c r="A21" s="10" t="inlineStr">
        <is>
          <t>ZOM-ORD-018</t>
        </is>
      </c>
      <c r="B21" s="11" t="n">
        <v>46055</v>
      </c>
      <c r="C21" s="10" t="inlineStr">
        <is>
          <t>February</t>
        </is>
      </c>
      <c r="D21" s="12" t="inlineStr">
        <is>
          <t>Subway</t>
        </is>
      </c>
      <c r="E21" s="13" t="n">
        <v>1223</v>
      </c>
    </row>
    <row r="22">
      <c r="A22" s="4" t="inlineStr">
        <is>
          <t>ZOM-ORD-019</t>
        </is>
      </c>
      <c r="B22" s="5" t="n">
        <v>46057</v>
      </c>
      <c r="C22" s="4" t="inlineStr">
        <is>
          <t>February</t>
        </is>
      </c>
      <c r="D22" s="6" t="inlineStr">
        <is>
          <t>La Pinoz</t>
        </is>
      </c>
      <c r="E22" s="7" t="n">
        <v>227</v>
      </c>
    </row>
    <row r="23">
      <c r="A23" s="10" t="inlineStr">
        <is>
          <t>ZOM-ORD-020</t>
        </is>
      </c>
      <c r="B23" s="11" t="n">
        <v>46060</v>
      </c>
      <c r="C23" s="10" t="inlineStr">
        <is>
          <t>February</t>
        </is>
      </c>
      <c r="D23" s="12" t="inlineStr">
        <is>
          <t>McDonalds</t>
        </is>
      </c>
      <c r="E23" s="13" t="n">
        <v>617</v>
      </c>
    </row>
    <row r="24">
      <c r="A24" s="4" t="inlineStr">
        <is>
          <t>ZOM-ORD-021</t>
        </is>
      </c>
      <c r="B24" s="5" t="n">
        <v>46060</v>
      </c>
      <c r="C24" s="4" t="inlineStr">
        <is>
          <t>February</t>
        </is>
      </c>
      <c r="D24" s="6" t="inlineStr">
        <is>
          <t>La Pinoz</t>
        </is>
      </c>
      <c r="E24" s="7" t="n">
        <v>513</v>
      </c>
    </row>
    <row r="25">
      <c r="A25" s="10" t="inlineStr">
        <is>
          <t>ZOM-ORD-022</t>
        </is>
      </c>
      <c r="B25" s="11" t="n">
        <v>46063</v>
      </c>
      <c r="C25" s="10" t="inlineStr">
        <is>
          <t>February</t>
        </is>
      </c>
      <c r="D25" s="12" t="inlineStr">
        <is>
          <t>Burger King</t>
        </is>
      </c>
      <c r="E25" s="13" t="n">
        <v>941</v>
      </c>
    </row>
    <row r="26">
      <c r="A26" s="4" t="inlineStr">
        <is>
          <t>ZOM-ORD-023</t>
        </is>
      </c>
      <c r="B26" s="5" t="n">
        <v>46063</v>
      </c>
      <c r="C26" s="4" t="inlineStr">
        <is>
          <t>February</t>
        </is>
      </c>
      <c r="D26" s="6" t="inlineStr">
        <is>
          <t>Subway</t>
        </is>
      </c>
      <c r="E26" s="7" t="n">
        <v>1111</v>
      </c>
    </row>
    <row r="27">
      <c r="A27" s="10" t="inlineStr">
        <is>
          <t>ZOM-ORD-024</t>
        </is>
      </c>
      <c r="B27" s="11" t="n">
        <v>46064</v>
      </c>
      <c r="C27" s="10" t="inlineStr">
        <is>
          <t>February</t>
        </is>
      </c>
      <c r="D27" s="12" t="inlineStr">
        <is>
          <t>McDonalds</t>
        </is>
      </c>
      <c r="E27" s="13" t="n">
        <v>1334</v>
      </c>
    </row>
    <row r="28">
      <c r="A28" s="4" t="inlineStr">
        <is>
          <t>ZOM-ORD-025</t>
        </is>
      </c>
      <c r="B28" s="5" t="n">
        <v>46064</v>
      </c>
      <c r="C28" s="4" t="inlineStr">
        <is>
          <t>February</t>
        </is>
      </c>
      <c r="D28" s="6" t="inlineStr">
        <is>
          <t>Subway</t>
        </is>
      </c>
      <c r="E28" s="7" t="n">
        <v>621</v>
      </c>
    </row>
    <row r="29">
      <c r="A29" s="10" t="inlineStr">
        <is>
          <t>ZOM-ORD-026</t>
        </is>
      </c>
      <c r="B29" s="11" t="n">
        <v>46067</v>
      </c>
      <c r="C29" s="10" t="inlineStr">
        <is>
          <t>February</t>
        </is>
      </c>
      <c r="D29" s="12" t="inlineStr">
        <is>
          <t>McDonalds</t>
        </is>
      </c>
      <c r="E29" s="13" t="n">
        <v>1093</v>
      </c>
    </row>
    <row r="30">
      <c r="A30" s="4" t="inlineStr">
        <is>
          <t>ZOM-ORD-027</t>
        </is>
      </c>
      <c r="B30" s="5" t="n">
        <v>46075</v>
      </c>
      <c r="C30" s="4" t="inlineStr">
        <is>
          <t>February</t>
        </is>
      </c>
      <c r="D30" s="6" t="inlineStr">
        <is>
          <t>Subway</t>
        </is>
      </c>
      <c r="E30" s="7" t="n">
        <v>1052</v>
      </c>
    </row>
    <row r="31">
      <c r="A31" s="10" t="inlineStr">
        <is>
          <t>ZOM-ORD-028</t>
        </is>
      </c>
      <c r="B31" s="11" t="n">
        <v>46077</v>
      </c>
      <c r="C31" s="10" t="inlineStr">
        <is>
          <t>February</t>
        </is>
      </c>
      <c r="D31" s="12" t="inlineStr">
        <is>
          <t>Subway</t>
        </is>
      </c>
      <c r="E31" s="13" t="n">
        <v>1076</v>
      </c>
    </row>
    <row r="32">
      <c r="A32" s="4" t="inlineStr">
        <is>
          <t>ZOM-ORD-029</t>
        </is>
      </c>
      <c r="B32" s="5" t="n">
        <v>46077</v>
      </c>
      <c r="C32" s="4" t="inlineStr">
        <is>
          <t>February</t>
        </is>
      </c>
      <c r="D32" s="6" t="inlineStr">
        <is>
          <t>Burger King</t>
        </is>
      </c>
      <c r="E32" s="7" t="n">
        <v>499</v>
      </c>
    </row>
    <row r="33">
      <c r="A33" s="10" t="inlineStr">
        <is>
          <t>ZOM-ORD-030</t>
        </is>
      </c>
      <c r="B33" s="11" t="n">
        <v>46081</v>
      </c>
      <c r="C33" s="10" t="inlineStr">
        <is>
          <t>February</t>
        </is>
      </c>
      <c r="D33" s="12" t="inlineStr">
        <is>
          <t>Subway</t>
        </is>
      </c>
      <c r="E33" s="13" t="n">
        <v>646</v>
      </c>
    </row>
    <row r="34">
      <c r="A34" s="4" t="inlineStr">
        <is>
          <t>ZOM-ORD-031</t>
        </is>
      </c>
      <c r="B34" s="5" t="n">
        <v>46082</v>
      </c>
      <c r="C34" s="4" t="inlineStr">
        <is>
          <t>March</t>
        </is>
      </c>
      <c r="D34" s="6" t="inlineStr">
        <is>
          <t>McDonalds</t>
        </is>
      </c>
      <c r="E34" s="7" t="n">
        <v>812</v>
      </c>
    </row>
    <row r="35">
      <c r="A35" s="10" t="inlineStr">
        <is>
          <t>ZOM-ORD-032</t>
        </is>
      </c>
      <c r="B35" s="11" t="n">
        <v>46082</v>
      </c>
      <c r="C35" s="10" t="inlineStr">
        <is>
          <t>March</t>
        </is>
      </c>
      <c r="D35" s="12" t="inlineStr">
        <is>
          <t>Subway</t>
        </is>
      </c>
      <c r="E35" s="13" t="n">
        <v>343</v>
      </c>
    </row>
    <row r="36">
      <c r="A36" s="4" t="inlineStr">
        <is>
          <t>ZOM-ORD-033</t>
        </is>
      </c>
      <c r="B36" s="5" t="n">
        <v>46088</v>
      </c>
      <c r="C36" s="4" t="inlineStr">
        <is>
          <t>March</t>
        </is>
      </c>
      <c r="D36" s="6" t="inlineStr">
        <is>
          <t>La Pinoz</t>
        </is>
      </c>
      <c r="E36" s="7" t="n">
        <v>1401</v>
      </c>
    </row>
    <row r="37">
      <c r="A37" s="10" t="inlineStr">
        <is>
          <t>ZOM-ORD-034</t>
        </is>
      </c>
      <c r="B37" s="11" t="n">
        <v>46088</v>
      </c>
      <c r="C37" s="10" t="inlineStr">
        <is>
          <t>March</t>
        </is>
      </c>
      <c r="D37" s="12" t="inlineStr">
        <is>
          <t>McDonalds</t>
        </is>
      </c>
      <c r="E37" s="13" t="n">
        <v>611</v>
      </c>
    </row>
    <row r="38">
      <c r="A38" s="4" t="inlineStr">
        <is>
          <t>ZOM-ORD-035</t>
        </is>
      </c>
      <c r="B38" s="5" t="n">
        <v>46091</v>
      </c>
      <c r="C38" s="4" t="inlineStr">
        <is>
          <t>March</t>
        </is>
      </c>
      <c r="D38" s="6" t="inlineStr">
        <is>
          <t>Subway</t>
        </is>
      </c>
      <c r="E38" s="7" t="n">
        <v>385</v>
      </c>
    </row>
    <row r="39">
      <c r="A39" s="10" t="inlineStr">
        <is>
          <t>ZOM-ORD-036</t>
        </is>
      </c>
      <c r="B39" s="11" t="n">
        <v>46092</v>
      </c>
      <c r="C39" s="10" t="inlineStr">
        <is>
          <t>March</t>
        </is>
      </c>
      <c r="D39" s="12" t="inlineStr">
        <is>
          <t>La Pinoz</t>
        </is>
      </c>
      <c r="E39" s="13" t="n">
        <v>883</v>
      </c>
    </row>
    <row r="40">
      <c r="A40" s="4" t="inlineStr">
        <is>
          <t>ZOM-ORD-037</t>
        </is>
      </c>
      <c r="B40" s="5" t="n">
        <v>46095</v>
      </c>
      <c r="C40" s="4" t="inlineStr">
        <is>
          <t>March</t>
        </is>
      </c>
      <c r="D40" s="6" t="inlineStr">
        <is>
          <t>McDonalds</t>
        </is>
      </c>
      <c r="E40" s="7" t="n">
        <v>1273</v>
      </c>
    </row>
    <row r="41">
      <c r="A41" s="10" t="inlineStr">
        <is>
          <t>ZOM-ORD-038</t>
        </is>
      </c>
      <c r="B41" s="11" t="n">
        <v>46097</v>
      </c>
      <c r="C41" s="10" t="inlineStr">
        <is>
          <t>March</t>
        </is>
      </c>
      <c r="D41" s="12" t="inlineStr">
        <is>
          <t>Burger King</t>
        </is>
      </c>
      <c r="E41" s="13" t="n">
        <v>762</v>
      </c>
    </row>
    <row r="42">
      <c r="A42" s="4" t="inlineStr">
        <is>
          <t>ZOM-ORD-039</t>
        </is>
      </c>
      <c r="B42" s="5" t="n">
        <v>46100</v>
      </c>
      <c r="C42" s="4" t="inlineStr">
        <is>
          <t>March</t>
        </is>
      </c>
      <c r="D42" s="6" t="inlineStr">
        <is>
          <t>McDonalds</t>
        </is>
      </c>
      <c r="E42" s="7" t="n">
        <v>1472</v>
      </c>
    </row>
    <row r="43">
      <c r="A43" s="10" t="inlineStr">
        <is>
          <t>ZOM-ORD-040</t>
        </is>
      </c>
      <c r="B43" s="11" t="n">
        <v>46101</v>
      </c>
      <c r="C43" s="10" t="inlineStr">
        <is>
          <t>March</t>
        </is>
      </c>
      <c r="D43" s="12" t="inlineStr">
        <is>
          <t>Burger King</t>
        </is>
      </c>
      <c r="E43" s="13" t="n">
        <v>280</v>
      </c>
    </row>
    <row r="44">
      <c r="A44" s="4" t="inlineStr">
        <is>
          <t>ZOM-ORD-041</t>
        </is>
      </c>
      <c r="B44" s="5" t="n">
        <v>46108</v>
      </c>
      <c r="C44" s="4" t="inlineStr">
        <is>
          <t>March</t>
        </is>
      </c>
      <c r="D44" s="6" t="inlineStr">
        <is>
          <t>Subway</t>
        </is>
      </c>
      <c r="E44" s="7" t="n">
        <v>1043</v>
      </c>
    </row>
    <row r="45">
      <c r="A45" s="10" t="inlineStr">
        <is>
          <t>ZOM-ORD-042</t>
        </is>
      </c>
      <c r="B45" s="11" t="n">
        <v>46116</v>
      </c>
      <c r="C45" s="10" t="inlineStr">
        <is>
          <t>April</t>
        </is>
      </c>
      <c r="D45" s="12" t="inlineStr">
        <is>
          <t>La Pinoz</t>
        </is>
      </c>
      <c r="E45" s="13" t="n">
        <v>670</v>
      </c>
    </row>
    <row r="46">
      <c r="A46" s="4" t="inlineStr">
        <is>
          <t>ZOM-ORD-043</t>
        </is>
      </c>
      <c r="B46" s="5" t="n">
        <v>46118</v>
      </c>
      <c r="C46" s="4" t="inlineStr">
        <is>
          <t>April</t>
        </is>
      </c>
      <c r="D46" s="6" t="inlineStr">
        <is>
          <t>Burger King</t>
        </is>
      </c>
      <c r="E46" s="7" t="n">
        <v>322</v>
      </c>
    </row>
    <row r="47">
      <c r="A47" s="10" t="inlineStr">
        <is>
          <t>ZOM-ORD-044</t>
        </is>
      </c>
      <c r="B47" s="11" t="n">
        <v>46119</v>
      </c>
      <c r="C47" s="10" t="inlineStr">
        <is>
          <t>April</t>
        </is>
      </c>
      <c r="D47" s="12" t="inlineStr">
        <is>
          <t>McDonalds</t>
        </is>
      </c>
      <c r="E47" s="13" t="n">
        <v>1213</v>
      </c>
    </row>
    <row r="48">
      <c r="A48" s="4" t="inlineStr">
        <is>
          <t>ZOM-ORD-045</t>
        </is>
      </c>
      <c r="B48" s="5" t="n">
        <v>46121</v>
      </c>
      <c r="C48" s="4" t="inlineStr">
        <is>
          <t>April</t>
        </is>
      </c>
      <c r="D48" s="6" t="inlineStr">
        <is>
          <t>McDonalds</t>
        </is>
      </c>
      <c r="E48" s="7" t="n">
        <v>775</v>
      </c>
    </row>
    <row r="49">
      <c r="A49" s="10" t="inlineStr">
        <is>
          <t>ZOM-ORD-046</t>
        </is>
      </c>
      <c r="B49" s="11" t="n">
        <v>46123</v>
      </c>
      <c r="C49" s="10" t="inlineStr">
        <is>
          <t>April</t>
        </is>
      </c>
      <c r="D49" s="12" t="inlineStr">
        <is>
          <t>Subway</t>
        </is>
      </c>
      <c r="E49" s="13" t="n">
        <v>1018</v>
      </c>
    </row>
    <row r="50">
      <c r="A50" s="4" t="inlineStr">
        <is>
          <t>ZOM-ORD-047</t>
        </is>
      </c>
      <c r="B50" s="5" t="n">
        <v>46124</v>
      </c>
      <c r="C50" s="4" t="inlineStr">
        <is>
          <t>April</t>
        </is>
      </c>
      <c r="D50" s="6" t="inlineStr">
        <is>
          <t>Subway</t>
        </is>
      </c>
      <c r="E50" s="7" t="n">
        <v>1207</v>
      </c>
    </row>
    <row r="51">
      <c r="A51" s="10" t="inlineStr">
        <is>
          <t>ZOM-ORD-048</t>
        </is>
      </c>
      <c r="B51" s="11" t="n">
        <v>46126</v>
      </c>
      <c r="C51" s="10" t="inlineStr">
        <is>
          <t>April</t>
        </is>
      </c>
      <c r="D51" s="12" t="inlineStr">
        <is>
          <t>Burger King</t>
        </is>
      </c>
      <c r="E51" s="13" t="n">
        <v>502</v>
      </c>
    </row>
    <row r="52">
      <c r="A52" s="4" t="inlineStr">
        <is>
          <t>ZOM-ORD-049</t>
        </is>
      </c>
      <c r="B52" s="5" t="n">
        <v>46128</v>
      </c>
      <c r="C52" s="4" t="inlineStr">
        <is>
          <t>April</t>
        </is>
      </c>
      <c r="D52" s="6" t="inlineStr">
        <is>
          <t>Subway</t>
        </is>
      </c>
      <c r="E52" s="7" t="n">
        <v>223</v>
      </c>
    </row>
    <row r="53">
      <c r="A53" s="10" t="inlineStr">
        <is>
          <t>ZOM-ORD-050</t>
        </is>
      </c>
      <c r="B53" s="11" t="n">
        <v>46131</v>
      </c>
      <c r="C53" s="10" t="inlineStr">
        <is>
          <t>April</t>
        </is>
      </c>
      <c r="D53" s="12" t="inlineStr">
        <is>
          <t>McDonalds</t>
        </is>
      </c>
      <c r="E53" s="13" t="n">
        <v>1048</v>
      </c>
    </row>
    <row r="54">
      <c r="A54" s="4" t="inlineStr">
        <is>
          <t>ZOM-ORD-051</t>
        </is>
      </c>
      <c r="B54" s="5" t="n">
        <v>46131</v>
      </c>
      <c r="C54" s="4" t="inlineStr">
        <is>
          <t>April</t>
        </is>
      </c>
      <c r="D54" s="6" t="inlineStr">
        <is>
          <t>Burger King</t>
        </is>
      </c>
      <c r="E54" s="7" t="n">
        <v>282</v>
      </c>
    </row>
    <row r="55">
      <c r="A55" s="10" t="inlineStr">
        <is>
          <t>ZOM-ORD-052</t>
        </is>
      </c>
      <c r="B55" s="11" t="n">
        <v>46133</v>
      </c>
      <c r="C55" s="10" t="inlineStr">
        <is>
          <t>April</t>
        </is>
      </c>
      <c r="D55" s="12" t="inlineStr">
        <is>
          <t>Subway</t>
        </is>
      </c>
      <c r="E55" s="13" t="n">
        <v>778</v>
      </c>
    </row>
    <row r="56">
      <c r="A56" s="4" t="inlineStr">
        <is>
          <t>ZOM-ORD-053</t>
        </is>
      </c>
      <c r="B56" s="5" t="n">
        <v>46133</v>
      </c>
      <c r="C56" s="4" t="inlineStr">
        <is>
          <t>April</t>
        </is>
      </c>
      <c r="D56" s="6" t="inlineStr">
        <is>
          <t>Burger King</t>
        </is>
      </c>
      <c r="E56" s="7" t="n">
        <v>307</v>
      </c>
    </row>
    <row r="57">
      <c r="A57" s="10" t="inlineStr">
        <is>
          <t>ZOM-ORD-054</t>
        </is>
      </c>
      <c r="B57" s="11" t="n">
        <v>46133</v>
      </c>
      <c r="C57" s="10" t="inlineStr">
        <is>
          <t>April</t>
        </is>
      </c>
      <c r="D57" s="12" t="inlineStr">
        <is>
          <t>Subway</t>
        </is>
      </c>
      <c r="E57" s="13" t="n">
        <v>1345</v>
      </c>
    </row>
    <row r="58">
      <c r="A58" s="4" t="inlineStr">
        <is>
          <t>ZOM-ORD-055</t>
        </is>
      </c>
      <c r="B58" s="5" t="n">
        <v>46133</v>
      </c>
      <c r="C58" s="4" t="inlineStr">
        <is>
          <t>April</t>
        </is>
      </c>
      <c r="D58" s="6" t="inlineStr">
        <is>
          <t>La Pinoz</t>
        </is>
      </c>
      <c r="E58" s="7" t="n">
        <v>1318</v>
      </c>
    </row>
    <row r="59">
      <c r="A59" s="10" t="inlineStr">
        <is>
          <t>ZOM-ORD-056</t>
        </is>
      </c>
      <c r="B59" s="11" t="n">
        <v>46134</v>
      </c>
      <c r="C59" s="10" t="inlineStr">
        <is>
          <t>April</t>
        </is>
      </c>
      <c r="D59" s="12" t="inlineStr">
        <is>
          <t>Subway</t>
        </is>
      </c>
      <c r="E59" s="13" t="n">
        <v>602</v>
      </c>
    </row>
    <row r="60">
      <c r="A60" s="4" t="inlineStr">
        <is>
          <t>ZOM-ORD-057</t>
        </is>
      </c>
      <c r="B60" s="5" t="n">
        <v>46137</v>
      </c>
      <c r="C60" s="4" t="inlineStr">
        <is>
          <t>April</t>
        </is>
      </c>
      <c r="D60" s="6" t="inlineStr">
        <is>
          <t>Subway</t>
        </is>
      </c>
      <c r="E60" s="7" t="n">
        <v>633</v>
      </c>
    </row>
    <row r="61">
      <c r="A61" s="10" t="inlineStr">
        <is>
          <t>ZOM-ORD-058</t>
        </is>
      </c>
      <c r="B61" s="11" t="n">
        <v>46138</v>
      </c>
      <c r="C61" s="10" t="inlineStr">
        <is>
          <t>April</t>
        </is>
      </c>
      <c r="D61" s="12" t="inlineStr">
        <is>
          <t>La Pinoz</t>
        </is>
      </c>
      <c r="E61" s="13" t="n">
        <v>1347</v>
      </c>
    </row>
    <row r="62">
      <c r="A62" s="4" t="inlineStr">
        <is>
          <t>ZOM-ORD-059</t>
        </is>
      </c>
      <c r="B62" s="5" t="n">
        <v>46139</v>
      </c>
      <c r="C62" s="4" t="inlineStr">
        <is>
          <t>April</t>
        </is>
      </c>
      <c r="D62" s="6" t="inlineStr">
        <is>
          <t>McDonalds</t>
        </is>
      </c>
      <c r="E62" s="7" t="n">
        <v>856</v>
      </c>
    </row>
    <row r="63">
      <c r="A63" s="10" t="inlineStr">
        <is>
          <t>ZOM-ORD-060</t>
        </is>
      </c>
      <c r="B63" s="11" t="n">
        <v>46139</v>
      </c>
      <c r="C63" s="10" t="inlineStr">
        <is>
          <t>April</t>
        </is>
      </c>
      <c r="D63" s="12" t="inlineStr">
        <is>
          <t>La Pinoz</t>
        </is>
      </c>
      <c r="E63" s="13" t="n">
        <v>1289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1" customWidth="1" min="2" max="2"/>
  </cols>
  <sheetData>
    <row r="1">
      <c r="A1" s="1" t="inlineStr">
        <is>
          <t>Task 2: Using the Pivot Table from your food delivery dataset, insert a Pivot Chart as a Bar Chart to visually compare total sales of each restaurant. Apply a custom color scheme to make the chart more readable.</t>
        </is>
      </c>
    </row>
    <row r="2"/>
    <row r="3">
      <c r="A3" s="3" t="inlineStr">
        <is>
          <t>Restaurant Name</t>
        </is>
      </c>
      <c r="B3" s="3" t="inlineStr">
        <is>
          <t>Sum of Total Amount</t>
        </is>
      </c>
    </row>
    <row r="4">
      <c r="A4" s="8" t="inlineStr">
        <is>
          <t>Burger King</t>
        </is>
      </c>
      <c r="B4" s="9">
        <f>'Task 1 - Pivot Restaurant Sales'!H4</f>
        <v/>
      </c>
    </row>
    <row r="5">
      <c r="A5" s="8" t="inlineStr">
        <is>
          <t>La Pinoz</t>
        </is>
      </c>
      <c r="B5" s="9">
        <f>'Task 1 - Pivot Restaurant Sales'!H5</f>
        <v/>
      </c>
    </row>
    <row r="6">
      <c r="A6" s="8" t="inlineStr">
        <is>
          <t>McDonalds</t>
        </is>
      </c>
      <c r="B6" s="9">
        <f>'Task 1 - Pivot Restaurant Sales'!H6</f>
        <v/>
      </c>
    </row>
    <row r="7">
      <c r="A7" s="8" t="inlineStr">
        <is>
          <t>Subway</t>
        </is>
      </c>
      <c r="B7" s="9">
        <f>'Task 1 - Pivot Restaurant Sales'!H7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2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Task 3: Add a Slicer to your Pivot Table and Chart that lets you filter sales data by month, so you can see how each restaurant performed in different months.</t>
        </is>
      </c>
    </row>
    <row r="2"/>
    <row r="3">
      <c r="A3" s="3" t="inlineStr">
        <is>
          <t>Restaurant Name</t>
        </is>
      </c>
      <c r="B3" s="3" t="inlineStr">
        <is>
          <t>Total Sales (January)</t>
        </is>
      </c>
      <c r="E3" s="16" t="inlineStr">
        <is>
          <t>SLICER: Month</t>
        </is>
      </c>
    </row>
    <row r="4">
      <c r="A4" s="8" t="inlineStr">
        <is>
          <t>Burger King</t>
        </is>
      </c>
      <c r="B4" s="9">
        <f>SUMIFS('Task 1 - Pivot Restaurant Sales'!E4:E63, 'Task 1 - Pivot Restaurant Sales'!D4:D63, A4, 'Task 1 - Pivot Restaurant Sales'!C4:C63, "January")</f>
        <v/>
      </c>
      <c r="E4" s="8" t="inlineStr">
        <is>
          <t>All</t>
        </is>
      </c>
    </row>
    <row r="5">
      <c r="A5" s="8" t="inlineStr">
        <is>
          <t>La Pinoz</t>
        </is>
      </c>
      <c r="B5" s="9">
        <f>SUMIFS('Task 1 - Pivot Restaurant Sales'!E4:E63, 'Task 1 - Pivot Restaurant Sales'!D4:D63, A5, 'Task 1 - Pivot Restaurant Sales'!C4:C63, "January")</f>
        <v/>
      </c>
      <c r="E5" s="17" t="inlineStr">
        <is>
          <t>January (Selected)</t>
        </is>
      </c>
    </row>
    <row r="6">
      <c r="A6" s="8" t="inlineStr">
        <is>
          <t>McDonalds</t>
        </is>
      </c>
      <c r="B6" s="9">
        <f>SUMIFS('Task 1 - Pivot Restaurant Sales'!E4:E63, 'Task 1 - Pivot Restaurant Sales'!D4:D63, A6, 'Task 1 - Pivot Restaurant Sales'!C4:C63, "January")</f>
        <v/>
      </c>
      <c r="E6" s="8" t="inlineStr">
        <is>
          <t>February</t>
        </is>
      </c>
    </row>
    <row r="7">
      <c r="A7" s="8" t="inlineStr">
        <is>
          <t>Subway</t>
        </is>
      </c>
      <c r="B7" s="9">
        <f>SUMIFS('Task 1 - Pivot Restaurant Sales'!E4:E63, 'Task 1 - Pivot Restaurant Sales'!D4:D63, A7, 'Task 1 - Pivot Restaurant Sales'!C4:C63, "January")</f>
        <v/>
      </c>
      <c r="E7" s="8" t="inlineStr">
        <is>
          <t>March</t>
        </is>
      </c>
    </row>
    <row r="8">
      <c r="E8" s="8" t="inlineStr">
        <is>
          <t>April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1" customWidth="1" min="2" max="2"/>
  </cols>
  <sheetData>
    <row r="1">
      <c r="A1" s="1" t="inlineStr">
        <is>
          <t>Task 4: Switch your Pivot Chart to a Pie Chart to show the percentage share of total sales for each restaurant, and format the chart to display data labels with both value and percentage.</t>
        </is>
      </c>
    </row>
    <row r="2"/>
    <row r="3">
      <c r="A3" s="3" t="inlineStr">
        <is>
          <t>Restaurant Name</t>
        </is>
      </c>
      <c r="B3" s="3" t="inlineStr">
        <is>
          <t>Total Sales</t>
        </is>
      </c>
    </row>
    <row r="4">
      <c r="A4" s="8" t="inlineStr">
        <is>
          <t>Burger King</t>
        </is>
      </c>
      <c r="B4" s="9">
        <f>'Task 1 - Pivot Restaurant Sales'!H4</f>
        <v/>
      </c>
    </row>
    <row r="5">
      <c r="A5" s="8" t="inlineStr">
        <is>
          <t>La Pinoz</t>
        </is>
      </c>
      <c r="B5" s="9">
        <f>'Task 1 - Pivot Restaurant Sales'!H5</f>
        <v/>
      </c>
    </row>
    <row r="6">
      <c r="A6" s="8" t="inlineStr">
        <is>
          <t>McDonalds</t>
        </is>
      </c>
      <c r="B6" s="9">
        <f>'Task 1 - Pivot Restaurant Sales'!H6</f>
        <v/>
      </c>
    </row>
    <row r="7">
      <c r="A7" s="8" t="inlineStr">
        <is>
          <t>Subway</t>
        </is>
      </c>
      <c r="B7" s="9">
        <f>'Task 1 - Pivot Restaurant Sales'!H7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Task 5: Create an interactive dashboard sheet that displays a Line Chart from your Pivot Table showing monthly sales trends for the top 3 restaurants, and design the dashboard layout to look clean and user-friendly (add a title, adjust fonts, and align elements).</t>
        </is>
      </c>
    </row>
    <row r="2"/>
    <row r="3">
      <c r="A3" s="18" t="inlineStr">
        <is>
          <t>Monthly Trends Matrix (Top 3 Restaurants)</t>
        </is>
      </c>
    </row>
    <row r="4"/>
    <row r="5">
      <c r="A5" s="16" t="inlineStr">
        <is>
          <t>Months</t>
        </is>
      </c>
      <c r="B5" s="16" t="inlineStr">
        <is>
          <t>Burger King</t>
        </is>
      </c>
      <c r="C5" s="16" t="inlineStr">
        <is>
          <t>La Pinoz</t>
        </is>
      </c>
      <c r="D5" s="16" t="inlineStr">
        <is>
          <t>McDonalds</t>
        </is>
      </c>
    </row>
    <row r="6">
      <c r="A6" s="19" t="inlineStr">
        <is>
          <t>January</t>
        </is>
      </c>
      <c r="B6" s="9">
        <f>SUMIFS('Task 1 - Pivot Restaurant Sales'!E4:E63, 'Task 1 - Pivot Restaurant Sales'!D4:D63, B5, 'Task 1 - Pivot Restaurant Sales'!C4:C63, A6)</f>
        <v/>
      </c>
      <c r="C6" s="9">
        <f>SUMIFS('Task 1 - Pivot Restaurant Sales'!E4:E63, 'Task 1 - Pivot Restaurant Sales'!D4:D63, C5, 'Task 1 - Pivot Restaurant Sales'!C4:C63, A6)</f>
        <v/>
      </c>
      <c r="D6" s="9">
        <f>SUMIFS('Task 1 - Pivot Restaurant Sales'!E4:E63, 'Task 1 - Pivot Restaurant Sales'!D4:D63, D5, 'Task 1 - Pivot Restaurant Sales'!C4:C63, A6)</f>
        <v/>
      </c>
    </row>
    <row r="7">
      <c r="A7" s="19" t="inlineStr">
        <is>
          <t>February</t>
        </is>
      </c>
      <c r="B7" s="9">
        <f>SUMIFS('Task 1 - Pivot Restaurant Sales'!E4:E63, 'Task 1 - Pivot Restaurant Sales'!D4:D63, B5, 'Task 1 - Pivot Restaurant Sales'!C4:C63, A7)</f>
        <v/>
      </c>
      <c r="C7" s="9">
        <f>SUMIFS('Task 1 - Pivot Restaurant Sales'!E4:E63, 'Task 1 - Pivot Restaurant Sales'!D4:D63, C5, 'Task 1 - Pivot Restaurant Sales'!C4:C63, A7)</f>
        <v/>
      </c>
      <c r="D7" s="9">
        <f>SUMIFS('Task 1 - Pivot Restaurant Sales'!E4:E63, 'Task 1 - Pivot Restaurant Sales'!D4:D63, D5, 'Task 1 - Pivot Restaurant Sales'!C4:C63, A7)</f>
        <v/>
      </c>
    </row>
    <row r="8">
      <c r="A8" s="19" t="inlineStr">
        <is>
          <t>March</t>
        </is>
      </c>
      <c r="B8" s="9">
        <f>SUMIFS('Task 1 - Pivot Restaurant Sales'!E4:E63, 'Task 1 - Pivot Restaurant Sales'!D4:D63, B5, 'Task 1 - Pivot Restaurant Sales'!C4:C63, A8)</f>
        <v/>
      </c>
      <c r="C8" s="9">
        <f>SUMIFS('Task 1 - Pivot Restaurant Sales'!E4:E63, 'Task 1 - Pivot Restaurant Sales'!D4:D63, C5, 'Task 1 - Pivot Restaurant Sales'!C4:C63, A8)</f>
        <v/>
      </c>
      <c r="D8" s="9">
        <f>SUMIFS('Task 1 - Pivot Restaurant Sales'!E4:E63, 'Task 1 - Pivot Restaurant Sales'!D4:D63, D5, 'Task 1 - Pivot Restaurant Sales'!C4:C63, A8)</f>
        <v/>
      </c>
    </row>
    <row r="9">
      <c r="A9" s="19" t="inlineStr">
        <is>
          <t>April</t>
        </is>
      </c>
      <c r="B9" s="9">
        <f>SUMIFS('Task 1 - Pivot Restaurant Sales'!E4:E63, 'Task 1 - Pivot Restaurant Sales'!D4:D63, B5, 'Task 1 - Pivot Restaurant Sales'!C4:C63, A9)</f>
        <v/>
      </c>
      <c r="C9" s="9">
        <f>SUMIFS('Task 1 - Pivot Restaurant Sales'!E4:E63, 'Task 1 - Pivot Restaurant Sales'!D4:D63, C5, 'Task 1 - Pivot Restaurant Sales'!C4:C63, A9)</f>
        <v/>
      </c>
      <c r="D9" s="9">
        <f>SUMIFS('Task 1 - Pivot Restaurant Sales'!E4:E63, 'Task 1 - Pivot Restaurant Sales'!D4:D63, D5, 'Task 1 - Pivot Restaurant Sales'!C4:C63, A9)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2026-07-08T10:25:52Z</dcterms:created>
  <dcterms:modified xmlns:dcterms="http://purl.org/dc/terms/" xmlns:xsi="http://www.w3.org/2001/XMLSchema-instance" xsi:type="dcterms:W3CDTF">2026-07-08T10:25:53Z</dcterms:modified>
</cp:coreProperties>
</file>